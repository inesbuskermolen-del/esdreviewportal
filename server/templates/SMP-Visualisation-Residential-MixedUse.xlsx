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esb\Desktop\Claude Code\server\templates\"/>
    </mc:Choice>
  </mc:AlternateContent>
  <xr:revisionPtr revIDLastSave="0" documentId="13_ncr:1_{3F5C0CE2-A6E2-4CAB-8C29-A498664E13CA}" xr6:coauthVersionLast="47" xr6:coauthVersionMax="47" xr10:uidLastSave="{00000000-0000-0000-0000-000000000000}"/>
  <bookViews>
    <workbookView xWindow="28680" yWindow="-120" windowWidth="29040" windowHeight="15720" tabRatio="780" activeTab="1" xr2:uid="{ABC4B530-0DF2-4B7A-AC79-6C340B5D949E}"/>
  </bookViews>
  <sheets>
    <sheet name="Final Report" sheetId="12" r:id="rId1"/>
    <sheet name="Inputs Residential &amp; Mixed-Use" sheetId="2" r:id="rId2"/>
    <sheet name="Graphs" sheetId="1" r:id="rId3"/>
    <sheet name="Calculations Residential" sheetId="4" state="hidden" r:id="rId4"/>
    <sheet name="Calculations Retail" sheetId="6" state="hidden" r:id="rId5"/>
    <sheet name="Calculations Office" sheetId="7" state="hidden" r:id="rId6"/>
    <sheet name="Calculations Communal" sheetId="9" state="hidden" r:id="rId7"/>
    <sheet name="Calculations C&amp;S" sheetId="10" state="hidden" r:id="rId8"/>
    <sheet name="Totals Residential &amp; Mixed-Use" sheetId="5" r:id="rId9"/>
    <sheet name="Drop down" sheetId="3" state="hidden" r:id="rId10"/>
    <sheet name="Averages" sheetId="8" state="hidden" r:id="rId11"/>
  </sheets>
  <definedNames>
    <definedName name="_xlchart.v1.0" hidden="1">'Totals Residential &amp; Mixed-Use'!$H$67:$H$69</definedName>
    <definedName name="_xlchart.v1.1" hidden="1">'Totals Residential &amp; Mixed-Use'!$J$67:$J$69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7" l="1"/>
  <c r="C17" i="7"/>
  <c r="T28" i="5"/>
  <c r="P28" i="5"/>
  <c r="O28" i="5"/>
  <c r="K28" i="5"/>
  <c r="J28" i="5"/>
  <c r="C46" i="6"/>
  <c r="F28" i="5"/>
  <c r="H40" i="8" l="1"/>
  <c r="F33" i="8" l="1"/>
  <c r="G33" i="8"/>
  <c r="F34" i="8"/>
  <c r="G34" i="8"/>
  <c r="F35" i="8"/>
  <c r="G35" i="8"/>
  <c r="F36" i="8"/>
  <c r="G36" i="8"/>
  <c r="F37" i="8"/>
  <c r="G37" i="8"/>
  <c r="F38" i="8"/>
  <c r="G38" i="8"/>
  <c r="H38" i="8"/>
  <c r="H32" i="8"/>
  <c r="G32" i="8"/>
  <c r="F32" i="8"/>
  <c r="H37" i="8" l="1"/>
  <c r="H36" i="8"/>
  <c r="H35" i="8"/>
  <c r="H34" i="8"/>
  <c r="H33" i="8"/>
  <c r="Q23" i="8"/>
  <c r="O20" i="8" l="1"/>
  <c r="Q20" i="8" s="1"/>
  <c r="P20" i="8"/>
  <c r="O21" i="8"/>
  <c r="P21" i="8"/>
  <c r="Q21" i="8" l="1"/>
  <c r="Q19" i="8"/>
  <c r="P19" i="8"/>
  <c r="O19" i="8"/>
  <c r="Q18" i="8" l="1"/>
  <c r="P18" i="8"/>
  <c r="O18" i="8"/>
  <c r="Q15" i="8" l="1"/>
  <c r="N11" i="8" l="1"/>
  <c r="M12" i="8"/>
  <c r="N12" i="8"/>
  <c r="L12" i="8"/>
  <c r="M11" i="8" l="1"/>
  <c r="L11" i="8"/>
  <c r="Q6" i="8" l="1"/>
  <c r="O4" i="8"/>
  <c r="P4" i="8"/>
  <c r="P6" i="8"/>
  <c r="P7" i="8"/>
  <c r="P8" i="8"/>
  <c r="P9" i="8"/>
  <c r="P10" i="8"/>
  <c r="P11" i="8"/>
  <c r="P12" i="8"/>
  <c r="O6" i="8"/>
  <c r="O7" i="8"/>
  <c r="O8" i="8"/>
  <c r="O9" i="8"/>
  <c r="O10" i="8"/>
  <c r="O11" i="8"/>
  <c r="O12" i="8"/>
  <c r="Q4" i="8" l="1"/>
  <c r="Q12" i="8"/>
  <c r="Q11" i="8"/>
  <c r="Q10" i="8"/>
  <c r="Q9" i="8"/>
  <c r="Q8" i="8"/>
  <c r="Q7" i="8"/>
  <c r="Q5" i="8"/>
  <c r="P5" i="8"/>
  <c r="O5" i="8"/>
  <c r="H12" i="8" l="1"/>
  <c r="Z14" i="5" l="1"/>
  <c r="Y14" i="5"/>
  <c r="X14" i="5"/>
  <c r="F52" i="5"/>
  <c r="H60" i="5"/>
  <c r="H57" i="5"/>
  <c r="U55" i="5" l="1"/>
  <c r="K55" i="5"/>
  <c r="F55" i="5"/>
  <c r="F46" i="5"/>
  <c r="K46" i="5"/>
  <c r="P46" i="5"/>
  <c r="U46" i="5"/>
  <c r="U36" i="5"/>
  <c r="P36" i="5"/>
  <c r="K36" i="5"/>
  <c r="F36" i="5"/>
  <c r="U26" i="5"/>
  <c r="P26" i="5"/>
  <c r="K26" i="5"/>
  <c r="F26" i="5"/>
  <c r="U19" i="5"/>
  <c r="P19" i="5"/>
  <c r="K19" i="5"/>
  <c r="F19" i="5"/>
  <c r="Z7" i="5"/>
  <c r="U7" i="5"/>
  <c r="P7" i="5"/>
  <c r="K7" i="5"/>
  <c r="F7" i="5"/>
  <c r="M25" i="2" l="1"/>
  <c r="C44" i="4"/>
  <c r="D12" i="5" s="1"/>
  <c r="C6" i="4"/>
  <c r="G6" i="4"/>
  <c r="K6" i="4"/>
  <c r="I12" i="5" l="1"/>
  <c r="N12" i="5" s="1"/>
  <c r="S12" i="5"/>
  <c r="X12" i="5"/>
  <c r="C5" i="4"/>
  <c r="D28" i="2" l="1"/>
  <c r="G42" i="6"/>
  <c r="G41" i="6"/>
  <c r="D19" i="3"/>
  <c r="C43" i="6" s="1"/>
  <c r="C33" i="7"/>
  <c r="R8" i="5"/>
  <c r="R9" i="5"/>
  <c r="R10" i="5"/>
  <c r="G43" i="6" l="1"/>
  <c r="H43" i="6"/>
  <c r="C18" i="4"/>
  <c r="D9" i="5" s="1"/>
  <c r="C25" i="4"/>
  <c r="D10" i="5" s="1"/>
  <c r="C12" i="4"/>
  <c r="D8" i="5" s="1"/>
  <c r="C10" i="10"/>
  <c r="G14" i="9"/>
  <c r="C14" i="9"/>
  <c r="G27" i="7"/>
  <c r="C27" i="7"/>
  <c r="C13" i="7"/>
  <c r="I52" i="2"/>
  <c r="C30" i="6" s="1"/>
  <c r="G30" i="6" s="1"/>
  <c r="G24" i="6"/>
  <c r="C21" i="6"/>
  <c r="C13" i="6"/>
  <c r="I25" i="2"/>
  <c r="G47" i="4"/>
  <c r="C47" i="4" s="1"/>
  <c r="D13" i="5" s="1"/>
  <c r="K21" i="4"/>
  <c r="K25" i="4" s="1"/>
  <c r="G25" i="4"/>
  <c r="G18" i="4"/>
  <c r="D50" i="2"/>
  <c r="C28" i="4" s="1"/>
  <c r="I8" i="5" l="1"/>
  <c r="N8" i="5" s="1"/>
  <c r="S8" i="5"/>
  <c r="X8" i="5" s="1"/>
  <c r="I10" i="5"/>
  <c r="N10" i="5" s="1"/>
  <c r="S10" i="5"/>
  <c r="X10" i="5" s="1"/>
  <c r="G28" i="4"/>
  <c r="C32" i="4"/>
  <c r="C37" i="4" s="1"/>
  <c r="D11" i="5" s="1"/>
  <c r="D15" i="5" s="1"/>
  <c r="D56" i="5" s="1"/>
  <c r="I9" i="5"/>
  <c r="N9" i="5" s="1"/>
  <c r="S9" i="5"/>
  <c r="X9" i="5" s="1"/>
  <c r="I13" i="5"/>
  <c r="S13" i="5"/>
  <c r="G32" i="4"/>
  <c r="K28" i="4"/>
  <c r="E32" i="5"/>
  <c r="E68" i="5"/>
  <c r="E69" i="5"/>
  <c r="E67" i="5"/>
  <c r="J67" i="5" s="1"/>
  <c r="C68" i="5"/>
  <c r="C69" i="5"/>
  <c r="C67" i="5"/>
  <c r="J52" i="5"/>
  <c r="O52" i="5" s="1"/>
  <c r="O61" i="5" s="1"/>
  <c r="N61" i="5" s="1"/>
  <c r="M52" i="2"/>
  <c r="C36" i="7" s="1"/>
  <c r="G36" i="7" s="1"/>
  <c r="K40" i="4"/>
  <c r="D46" i="6"/>
  <c r="U38" i="5"/>
  <c r="T38" i="5"/>
  <c r="U28" i="5"/>
  <c r="R38" i="5"/>
  <c r="H38" i="5"/>
  <c r="M38" i="5" s="1"/>
  <c r="G13" i="7"/>
  <c r="E38" i="5"/>
  <c r="G15" i="7"/>
  <c r="G12" i="7"/>
  <c r="C12" i="7"/>
  <c r="G13" i="6"/>
  <c r="C17" i="6"/>
  <c r="E28" i="5" s="1"/>
  <c r="G12" i="6"/>
  <c r="C12" i="6"/>
  <c r="G21" i="6"/>
  <c r="F29" i="5" s="1"/>
  <c r="E29" i="5"/>
  <c r="O29" i="5" s="1"/>
  <c r="G21" i="7"/>
  <c r="F39" i="5" s="1"/>
  <c r="C21" i="7"/>
  <c r="E39" i="5" s="1"/>
  <c r="C27" i="6"/>
  <c r="C4" i="10"/>
  <c r="E47" i="5" s="1"/>
  <c r="O47" i="5" s="1"/>
  <c r="C16" i="10"/>
  <c r="E21" i="5"/>
  <c r="G6" i="9"/>
  <c r="G3" i="9"/>
  <c r="C3" i="9"/>
  <c r="C4" i="9" s="1"/>
  <c r="C8" i="9" s="1"/>
  <c r="R21" i="5"/>
  <c r="R22" i="5"/>
  <c r="R23" i="5"/>
  <c r="R20" i="5"/>
  <c r="H21" i="5"/>
  <c r="M21" i="5" s="1"/>
  <c r="H22" i="5"/>
  <c r="M22" i="5" s="1"/>
  <c r="H20" i="5"/>
  <c r="M20" i="5" s="1"/>
  <c r="G18" i="9"/>
  <c r="C18" i="9"/>
  <c r="G17" i="9"/>
  <c r="C17" i="9"/>
  <c r="F21" i="5"/>
  <c r="J32" i="5" l="1"/>
  <c r="T32" i="5"/>
  <c r="I11" i="5"/>
  <c r="N11" i="5" s="1"/>
  <c r="S11" i="5"/>
  <c r="X11" i="5" s="1"/>
  <c r="X13" i="5"/>
  <c r="X15" i="5" s="1"/>
  <c r="N13" i="5"/>
  <c r="I15" i="5"/>
  <c r="I56" i="5" s="1"/>
  <c r="G69" i="5"/>
  <c r="O32" i="5"/>
  <c r="C20" i="9"/>
  <c r="E22" i="5" s="1"/>
  <c r="O22" i="5" s="1"/>
  <c r="G20" i="9"/>
  <c r="F22" i="5" s="1"/>
  <c r="P21" i="5"/>
  <c r="K21" i="5"/>
  <c r="T21" i="5"/>
  <c r="O21" i="5"/>
  <c r="T39" i="5"/>
  <c r="O39" i="5"/>
  <c r="U39" i="5"/>
  <c r="P39" i="5"/>
  <c r="K39" i="5"/>
  <c r="U29" i="5"/>
  <c r="P29" i="5"/>
  <c r="K29" i="5"/>
  <c r="G68" i="5"/>
  <c r="J68" i="5"/>
  <c r="J69" i="5"/>
  <c r="J21" i="5"/>
  <c r="J38" i="5"/>
  <c r="O38" i="5" s="1"/>
  <c r="F38" i="5"/>
  <c r="K38" i="5" s="1"/>
  <c r="P38" i="5" s="1"/>
  <c r="H46" i="6"/>
  <c r="L41" i="4"/>
  <c r="L44" i="4"/>
  <c r="T29" i="5"/>
  <c r="J39" i="5"/>
  <c r="J29" i="5"/>
  <c r="G16" i="10"/>
  <c r="G4" i="10"/>
  <c r="F47" i="5" s="1"/>
  <c r="E48" i="5"/>
  <c r="G10" i="10"/>
  <c r="J47" i="5"/>
  <c r="T47" i="5"/>
  <c r="G4" i="9"/>
  <c r="U21" i="5"/>
  <c r="E20" i="5"/>
  <c r="N15" i="5" l="1"/>
  <c r="N56" i="5" s="1"/>
  <c r="S15" i="5"/>
  <c r="S56" i="5" s="1"/>
  <c r="K22" i="5"/>
  <c r="P22" i="5"/>
  <c r="T48" i="5"/>
  <c r="T49" i="5" s="1"/>
  <c r="T60" i="5" s="1"/>
  <c r="S60" i="5" s="1"/>
  <c r="O48" i="5"/>
  <c r="O49" i="5" s="1"/>
  <c r="O60" i="5" s="1"/>
  <c r="N60" i="5" s="1"/>
  <c r="K47" i="5"/>
  <c r="P47" i="5"/>
  <c r="J20" i="5"/>
  <c r="O20" i="5"/>
  <c r="O23" i="5" s="1"/>
  <c r="O57" i="5" s="1"/>
  <c r="N57" i="5" s="1"/>
  <c r="G8" i="9"/>
  <c r="F20" i="5" s="1"/>
  <c r="G46" i="6"/>
  <c r="F32" i="5" s="1"/>
  <c r="E23" i="5"/>
  <c r="E57" i="5" s="1"/>
  <c r="D57" i="5" s="1"/>
  <c r="J22" i="5"/>
  <c r="U22" i="5"/>
  <c r="F48" i="5"/>
  <c r="F23" i="5"/>
  <c r="F57" i="5" s="1"/>
  <c r="J48" i="5"/>
  <c r="J49" i="5" s="1"/>
  <c r="J60" i="5" s="1"/>
  <c r="I60" i="5" s="1"/>
  <c r="U47" i="5"/>
  <c r="E49" i="5"/>
  <c r="E60" i="5" s="1"/>
  <c r="D60" i="5" s="1"/>
  <c r="T20" i="5"/>
  <c r="T22" i="5"/>
  <c r="P32" i="5" l="1"/>
  <c r="K32" i="5"/>
  <c r="U32" i="5"/>
  <c r="J23" i="5"/>
  <c r="J57" i="5" s="1"/>
  <c r="I57" i="5" s="1"/>
  <c r="K48" i="5"/>
  <c r="K49" i="5" s="1"/>
  <c r="K60" i="5" s="1"/>
  <c r="P48" i="5"/>
  <c r="P49" i="5" s="1"/>
  <c r="P60" i="5" s="1"/>
  <c r="P20" i="5"/>
  <c r="P23" i="5" s="1"/>
  <c r="P57" i="5" s="1"/>
  <c r="K20" i="5"/>
  <c r="K23" i="5" s="1"/>
  <c r="K57" i="5" s="1"/>
  <c r="U20" i="5"/>
  <c r="U23" i="5" s="1"/>
  <c r="U57" i="5" s="1"/>
  <c r="U48" i="5"/>
  <c r="U49" i="5" s="1"/>
  <c r="U60" i="5" s="1"/>
  <c r="F49" i="5"/>
  <c r="F60" i="5" s="1"/>
  <c r="T23" i="5"/>
  <c r="T57" i="5" s="1"/>
  <c r="S57" i="5" s="1"/>
  <c r="J10" i="3" l="1"/>
  <c r="H28" i="8" l="1"/>
  <c r="G26" i="8"/>
  <c r="H26" i="8"/>
  <c r="F26" i="8"/>
  <c r="G25" i="8" l="1"/>
  <c r="H25" i="8"/>
  <c r="F25" i="8"/>
  <c r="F16" i="8" l="1"/>
  <c r="F17" i="8"/>
  <c r="F18" i="8"/>
  <c r="F19" i="8"/>
  <c r="F20" i="8"/>
  <c r="F21" i="8"/>
  <c r="F22" i="8"/>
  <c r="F23" i="8"/>
  <c r="F24" i="8"/>
  <c r="G16" i="8"/>
  <c r="G17" i="8"/>
  <c r="G18" i="8"/>
  <c r="G19" i="8"/>
  <c r="G20" i="8"/>
  <c r="G21" i="8"/>
  <c r="G22" i="8"/>
  <c r="G23" i="8"/>
  <c r="G24" i="8"/>
  <c r="H16" i="8"/>
  <c r="H17" i="8"/>
  <c r="H18" i="8"/>
  <c r="H19" i="8"/>
  <c r="H20" i="8"/>
  <c r="H21" i="8"/>
  <c r="H22" i="8"/>
  <c r="H23" i="8"/>
  <c r="H24" i="8"/>
  <c r="F5" i="8"/>
  <c r="F6" i="8"/>
  <c r="F7" i="8"/>
  <c r="F8" i="8"/>
  <c r="F9" i="8"/>
  <c r="F10" i="8"/>
  <c r="F11" i="8"/>
  <c r="G5" i="8"/>
  <c r="G6" i="8"/>
  <c r="G7" i="8"/>
  <c r="G8" i="8"/>
  <c r="G9" i="8"/>
  <c r="G10" i="8"/>
  <c r="G11" i="8"/>
  <c r="H5" i="8"/>
  <c r="H6" i="8"/>
  <c r="H7" i="8"/>
  <c r="H8" i="8"/>
  <c r="H9" i="8"/>
  <c r="H10" i="8"/>
  <c r="H11" i="8"/>
  <c r="H15" i="8"/>
  <c r="G15" i="8"/>
  <c r="F15" i="8"/>
  <c r="H4" i="8"/>
  <c r="G4" i="8"/>
  <c r="F4" i="8"/>
  <c r="E61" i="5" l="1"/>
  <c r="D61" i="5" s="1"/>
  <c r="J61" i="5"/>
  <c r="I61" i="5" s="1"/>
  <c r="M52" i="5"/>
  <c r="H40" i="5"/>
  <c r="M40" i="5" s="1"/>
  <c r="H41" i="5"/>
  <c r="M41" i="5" s="1"/>
  <c r="H42" i="5"/>
  <c r="M42" i="5" s="1"/>
  <c r="H43" i="5"/>
  <c r="M43" i="5" s="1"/>
  <c r="H37" i="5"/>
  <c r="M37" i="5" s="1"/>
  <c r="H30" i="5"/>
  <c r="M30" i="5" s="1"/>
  <c r="H31" i="5"/>
  <c r="M31" i="5" s="1"/>
  <c r="H32" i="5"/>
  <c r="M32" i="5" s="1"/>
  <c r="H33" i="5"/>
  <c r="M33" i="5" s="1"/>
  <c r="H27" i="5"/>
  <c r="M27" i="5" s="1"/>
  <c r="H9" i="5"/>
  <c r="M9" i="5" s="1"/>
  <c r="H10" i="5"/>
  <c r="M10" i="5" s="1"/>
  <c r="H11" i="5"/>
  <c r="M11" i="5" s="1"/>
  <c r="H12" i="5"/>
  <c r="M12" i="5" s="1"/>
  <c r="H13" i="5"/>
  <c r="M13" i="5" s="1"/>
  <c r="H15" i="5"/>
  <c r="M15" i="5" s="1"/>
  <c r="H8" i="5"/>
  <c r="M8" i="5" s="1"/>
  <c r="H58" i="5"/>
  <c r="M58" i="5" s="1"/>
  <c r="H59" i="5"/>
  <c r="M59" i="5" s="1"/>
  <c r="H61" i="5"/>
  <c r="M61" i="5" s="1"/>
  <c r="H62" i="5"/>
  <c r="M62" i="5" s="1"/>
  <c r="H56" i="5"/>
  <c r="M56" i="5" s="1"/>
  <c r="T52" i="5"/>
  <c r="T61" i="5" s="1"/>
  <c r="S61" i="5" s="1"/>
  <c r="R52" i="5"/>
  <c r="R43" i="5"/>
  <c r="R40" i="5"/>
  <c r="R41" i="5"/>
  <c r="R42" i="5"/>
  <c r="R37" i="5"/>
  <c r="R27" i="5"/>
  <c r="R31" i="5"/>
  <c r="R32" i="5"/>
  <c r="R33" i="5"/>
  <c r="R30" i="5"/>
  <c r="F40" i="5"/>
  <c r="E40" i="5"/>
  <c r="C40" i="7"/>
  <c r="G30" i="7"/>
  <c r="G33" i="7" s="1"/>
  <c r="C4" i="7"/>
  <c r="G40" i="7"/>
  <c r="E41" i="5"/>
  <c r="O41" i="5" s="1"/>
  <c r="G4" i="7"/>
  <c r="M51" i="2"/>
  <c r="G42" i="7" s="1"/>
  <c r="G7" i="7"/>
  <c r="G34" i="6"/>
  <c r="C34" i="6"/>
  <c r="C38" i="6" s="1"/>
  <c r="E30" i="5"/>
  <c r="O30" i="5" s="1"/>
  <c r="G4" i="6"/>
  <c r="C4" i="6"/>
  <c r="I51" i="2"/>
  <c r="G36" i="6" s="1"/>
  <c r="R15" i="5"/>
  <c r="W15" i="5" s="1"/>
  <c r="T3" i="5"/>
  <c r="W9" i="5"/>
  <c r="R13" i="5"/>
  <c r="W13" i="5" s="1"/>
  <c r="R12" i="5"/>
  <c r="W12" i="5" s="1"/>
  <c r="R11" i="5"/>
  <c r="W11" i="5" s="1"/>
  <c r="W10" i="5"/>
  <c r="W8" i="5"/>
  <c r="K32" i="4"/>
  <c r="G37" i="4"/>
  <c r="E11" i="5" s="1"/>
  <c r="O11" i="5" s="1"/>
  <c r="G12" i="4"/>
  <c r="D29" i="2"/>
  <c r="K7" i="4"/>
  <c r="K47" i="4"/>
  <c r="F13" i="5" s="1"/>
  <c r="U13" i="5" s="1"/>
  <c r="E13" i="5"/>
  <c r="O13" i="5" s="1"/>
  <c r="K41" i="4"/>
  <c r="K44" i="4" s="1"/>
  <c r="F12" i="5" s="1"/>
  <c r="U12" i="5" s="1"/>
  <c r="E10" i="5"/>
  <c r="F10" i="5"/>
  <c r="U10" i="5" s="1"/>
  <c r="E9" i="5"/>
  <c r="K15" i="4"/>
  <c r="K18" i="4" s="1"/>
  <c r="F9" i="5" s="1"/>
  <c r="U9" i="5" s="1"/>
  <c r="K5" i="4"/>
  <c r="K4" i="4"/>
  <c r="G5" i="4"/>
  <c r="C5" i="6" l="1"/>
  <c r="C9" i="6" s="1"/>
  <c r="G5" i="6"/>
  <c r="P52" i="5"/>
  <c r="P61" i="5" s="1"/>
  <c r="K52" i="5"/>
  <c r="K61" i="5" s="1"/>
  <c r="K13" i="5"/>
  <c r="P13" i="5"/>
  <c r="C44" i="7"/>
  <c r="E42" i="5" s="1"/>
  <c r="K40" i="5"/>
  <c r="P40" i="5"/>
  <c r="T40" i="5"/>
  <c r="O40" i="5"/>
  <c r="T10" i="5"/>
  <c r="Y10" i="5" s="1"/>
  <c r="O10" i="5"/>
  <c r="P9" i="5"/>
  <c r="K9" i="5"/>
  <c r="Z9" i="5"/>
  <c r="P12" i="5"/>
  <c r="K12" i="5"/>
  <c r="O9" i="5"/>
  <c r="T9" i="5"/>
  <c r="Y9" i="5" s="1"/>
  <c r="P10" i="5"/>
  <c r="Z10" i="5"/>
  <c r="K10" i="5"/>
  <c r="U40" i="5"/>
  <c r="Z13" i="5"/>
  <c r="T11" i="5"/>
  <c r="Y11" i="5" s="1"/>
  <c r="J11" i="5"/>
  <c r="J9" i="5"/>
  <c r="J10" i="5"/>
  <c r="T13" i="5"/>
  <c r="Y13" i="5" s="1"/>
  <c r="J13" i="5"/>
  <c r="G5" i="7"/>
  <c r="G9" i="7" s="1"/>
  <c r="F37" i="5" s="1"/>
  <c r="C5" i="7"/>
  <c r="C9" i="7" s="1"/>
  <c r="G7" i="6"/>
  <c r="G15" i="6"/>
  <c r="G17" i="6" s="1"/>
  <c r="F41" i="5"/>
  <c r="E31" i="5"/>
  <c r="O31" i="5" s="1"/>
  <c r="G27" i="6"/>
  <c r="F30" i="5" s="1"/>
  <c r="G38" i="6"/>
  <c r="F31" i="5" s="1"/>
  <c r="T41" i="5"/>
  <c r="J41" i="5"/>
  <c r="T30" i="5"/>
  <c r="J30" i="5"/>
  <c r="J40" i="5"/>
  <c r="F61" i="5"/>
  <c r="U52" i="5"/>
  <c r="U61" i="5" s="1"/>
  <c r="G44" i="7"/>
  <c r="F42" i="5" s="1"/>
  <c r="E8" i="5"/>
  <c r="C18" i="3"/>
  <c r="G41" i="4" s="1"/>
  <c r="G44" i="4" s="1"/>
  <c r="D52" i="2"/>
  <c r="K10" i="4"/>
  <c r="G9" i="6" l="1"/>
  <c r="J8" i="5"/>
  <c r="O8" i="5"/>
  <c r="T42" i="5"/>
  <c r="O42" i="5"/>
  <c r="J42" i="5"/>
  <c r="K37" i="5"/>
  <c r="P37" i="5"/>
  <c r="K42" i="5"/>
  <c r="P42" i="5"/>
  <c r="K31" i="5"/>
  <c r="P31" i="5"/>
  <c r="P30" i="5"/>
  <c r="K30" i="5"/>
  <c r="K41" i="5"/>
  <c r="P41" i="5"/>
  <c r="T8" i="5"/>
  <c r="Y8" i="5" s="1"/>
  <c r="E12" i="5"/>
  <c r="E15" i="5" s="1"/>
  <c r="U31" i="5"/>
  <c r="Z12" i="5"/>
  <c r="U37" i="5"/>
  <c r="E37" i="5"/>
  <c r="O37" i="5" s="1"/>
  <c r="O43" i="5" s="1"/>
  <c r="O59" i="5" s="1"/>
  <c r="N59" i="5" s="1"/>
  <c r="U41" i="5"/>
  <c r="J31" i="5"/>
  <c r="T31" i="5"/>
  <c r="U30" i="5"/>
  <c r="E27" i="5"/>
  <c r="O27" i="5" s="1"/>
  <c r="O33" i="5" s="1"/>
  <c r="O58" i="5" s="1"/>
  <c r="N58" i="5" s="1"/>
  <c r="F27" i="5"/>
  <c r="U42" i="5"/>
  <c r="F43" i="5"/>
  <c r="K9" i="4"/>
  <c r="K34" i="4"/>
  <c r="K37" i="4" s="1"/>
  <c r="E56" i="5" l="1"/>
  <c r="N62" i="5"/>
  <c r="K43" i="5"/>
  <c r="K59" i="5" s="1"/>
  <c r="P43" i="5"/>
  <c r="P59" i="5" s="1"/>
  <c r="P27" i="5"/>
  <c r="P33" i="5" s="1"/>
  <c r="P58" i="5" s="1"/>
  <c r="K27" i="5"/>
  <c r="K33" i="5" s="1"/>
  <c r="J12" i="5"/>
  <c r="J15" i="5" s="1"/>
  <c r="J56" i="5" s="1"/>
  <c r="O12" i="5"/>
  <c r="O15" i="5" s="1"/>
  <c r="O56" i="5" s="1"/>
  <c r="O62" i="5" s="1"/>
  <c r="T12" i="5"/>
  <c r="Y12" i="5" s="1"/>
  <c r="Y15" i="5" s="1"/>
  <c r="F11" i="5"/>
  <c r="U11" i="5" s="1"/>
  <c r="K12" i="4"/>
  <c r="F8" i="5" s="1"/>
  <c r="U8" i="5" s="1"/>
  <c r="Z8" i="5" s="1"/>
  <c r="U27" i="5"/>
  <c r="E43" i="5"/>
  <c r="J37" i="5"/>
  <c r="J43" i="5" s="1"/>
  <c r="T37" i="5"/>
  <c r="F33" i="5"/>
  <c r="F58" i="5" s="1"/>
  <c r="T27" i="5"/>
  <c r="J27" i="5"/>
  <c r="J33" i="5" s="1"/>
  <c r="E33" i="5"/>
  <c r="F59" i="5"/>
  <c r="U43" i="5"/>
  <c r="U59" i="5" s="1"/>
  <c r="K8" i="5" l="1"/>
  <c r="P8" i="5"/>
  <c r="P11" i="5"/>
  <c r="K11" i="5"/>
  <c r="T15" i="5"/>
  <c r="T56" i="5" s="1"/>
  <c r="Z11" i="5"/>
  <c r="F15" i="5"/>
  <c r="F16" i="5" s="1"/>
  <c r="D9" i="12" s="1"/>
  <c r="J58" i="5"/>
  <c r="I58" i="5" s="1"/>
  <c r="K58" i="5"/>
  <c r="U33" i="5"/>
  <c r="U58" i="5" s="1"/>
  <c r="E58" i="5"/>
  <c r="T33" i="5"/>
  <c r="T58" i="5" s="1"/>
  <c r="S58" i="5" s="1"/>
  <c r="J59" i="5"/>
  <c r="I59" i="5" s="1"/>
  <c r="E59" i="5"/>
  <c r="D59" i="5" s="1"/>
  <c r="T43" i="5"/>
  <c r="T59" i="5" s="1"/>
  <c r="S59" i="5" s="1"/>
  <c r="F56" i="5" l="1"/>
  <c r="F62" i="5" s="1"/>
  <c r="I62" i="5"/>
  <c r="D58" i="5"/>
  <c r="D62" i="5" s="1"/>
  <c r="E62" i="5"/>
  <c r="S62" i="5"/>
  <c r="P15" i="5"/>
  <c r="P56" i="5" s="1"/>
  <c r="P62" i="5" s="1"/>
  <c r="T62" i="5"/>
  <c r="K15" i="5"/>
  <c r="K56" i="5" s="1"/>
  <c r="K62" i="5" s="1"/>
  <c r="U15" i="5"/>
  <c r="U56" i="5" s="1"/>
  <c r="U62" i="5" s="1"/>
  <c r="Z15" i="5"/>
  <c r="Y17" i="5" s="1"/>
  <c r="D22" i="12" s="1"/>
  <c r="J62" i="5"/>
  <c r="L62" i="5" l="1"/>
  <c r="K63" i="5"/>
  <c r="T63" i="5"/>
  <c r="S63" i="5"/>
  <c r="X17" i="5"/>
  <c r="D24" i="12" s="1"/>
  <c r="D17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tc={E9887A05-947E-48F4-809F-F3E5FFBC1260}</author>
  </authors>
  <commentList>
    <comment ref="D50" authorId="0" shapeId="0" xr:uid="{E9887A05-947E-48F4-809F-F3E5FFBC1260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if proposed development deviates from average 2.5 occupants per apartment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tc={6DD82572-0B29-445F-AA6E-A4B36DF97601}</author>
    <author>tc={87087AB7-D4FF-4468-8BEE-C1F4FED04D5F}</author>
  </authors>
  <commentList>
    <comment ref="C4" authorId="0" shapeId="0" xr:uid="{6DD82572-0B29-445F-AA6E-A4B36DF97601}">
      <text>
        <t>[Threaded comment]
Your version of Excel allows you to read this threaded comment; however, any edits to it will get removed if the file is opened in a newer version of Excel. Learn more: https://go.microsoft.com/fwlink/?linkid=870924
Comment:
    If previous version of BCA is applied, this may vary.</t>
      </text>
    </comment>
    <comment ref="G4" authorId="1" shapeId="0" xr:uid="{87087AB7-D4FF-4468-8BEE-C1F4FED0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If previous version of BCA is applied, this may vary.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tc={A4DE12C2-03FB-4E40-A569-6952ED4CAD5B}</author>
  </authors>
  <commentList>
    <comment ref="C30" authorId="0" shapeId="0" xr:uid="{A4DE12C2-03FB-4E40-A569-6952ED4CAD5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handbook for estimating NABERS ratings A5.6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tc={305C9E89-91DC-423C-98C5-19F40815B9AC}</author>
    <author>tc={1B4AB438-7538-4AE2-ACEE-16512F3F34C0}</author>
  </authors>
  <commentList>
    <comment ref="C20" authorId="0" shapeId="0" xr:uid="{305C9E89-91DC-423C-98C5-19F40815B9AC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Green Star Multi-Unit Residential v1 GHG Guide Methodology - Lifts Benchmark pg 71
Y:\GIW\7_Resources\Green Star &amp; ABGR\Green Star Rating Tools\GS - Multi Res\Guides\GHG Emissions Guide_01072009.pdf
Assumptions per Table 30:
Speed - 1.0m/s
Ave power - 10kW
Standby Power - 70W</t>
      </text>
    </comment>
    <comment ref="G20" authorId="1" shapeId="0" xr:uid="{1B4AB438-7538-4AE2-ACEE-16512F3F3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Green Star Multi-Unit Residential v1 GHG Guide Methodology - Lifts Benchmark pg 71
Y:\GIW\7_Resources\Green Star &amp; ABGR\Green Star Rating Tools\GS - Multi Res\Guides\GHG Emissions Guide_01072009.pdf
Assumptions per Table 30:
Speed - 1.0m/s
Ave power - 10kW
Standby Power - 70W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tc={5095CFE6-0292-492E-A13A-066954B0BA0F}</author>
    <author>tc={677D05E5-4DC6-40AD-8002-9CDDAA20F892}</author>
  </authors>
  <commentList>
    <comment ref="C4" authorId="0" shapeId="0" xr:uid="{5095CFE6-0292-492E-A13A-066954B0B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Green Star Multi-Unit Residential v1 GHG Guide Methodology Section 3.5 pg 29
Y:\GIW\7_Resources\Green Star &amp; ABGR\Green Star Rating Tools\GS - Multi Res\Guides\GHG Emissions Guide_01072009.pdf</t>
      </text>
    </comment>
    <comment ref="C8" authorId="1" shapeId="0" xr:uid="{677D05E5-4DC6-40AD-8002-9CDDAA20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GBCA Energy Use Calc Guide Appendix  Table 55 Carpark and Loading Dock operational profiles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tc={2BE5DA8E-1A18-404E-82C7-D436412CA4AD}</author>
  </authors>
  <commentList>
    <comment ref="P55" authorId="0" shapeId="0" xr:uid="{2BE5DA8E-1A18-404E-82C7-D436412CA4AD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something here</t>
      </text>
    </comment>
  </commentList>
</comments>
</file>

<file path=xl/sharedStrings.xml><?xml version="1.0" encoding="utf-8"?>
<sst xmlns="http://schemas.openxmlformats.org/spreadsheetml/2006/main" count="961" uniqueCount="281">
  <si>
    <t>Development</t>
  </si>
  <si>
    <t>Retail</t>
  </si>
  <si>
    <t>Office</t>
  </si>
  <si>
    <t>Conditioned communal space</t>
  </si>
  <si>
    <t>Unconditioned communal space</t>
  </si>
  <si>
    <t>Carpark</t>
  </si>
  <si>
    <t>Services</t>
  </si>
  <si>
    <t>m2</t>
  </si>
  <si>
    <t>Star</t>
  </si>
  <si>
    <t>Average star rating commitment</t>
  </si>
  <si>
    <t>Y/N</t>
  </si>
  <si>
    <t>Type of HVAC system</t>
  </si>
  <si>
    <t>Efficency of HVAC system</t>
  </si>
  <si>
    <t>COP</t>
  </si>
  <si>
    <t>Type of hot water system</t>
  </si>
  <si>
    <t>Efficiency of hot water system</t>
  </si>
  <si>
    <t>Residential</t>
  </si>
  <si>
    <t>% reduction on DTS compliance (heating &amp; cooling only)</t>
  </si>
  <si>
    <t>%</t>
  </si>
  <si>
    <t>% reduction on lighting power</t>
  </si>
  <si>
    <t>Energy</t>
  </si>
  <si>
    <t>Efficient appliances</t>
  </si>
  <si>
    <t>kWh</t>
  </si>
  <si>
    <t>Water (BESS)</t>
  </si>
  <si>
    <t>Clothes drying</t>
  </si>
  <si>
    <t>Clothes drying Reference (BESS)</t>
  </si>
  <si>
    <t>Clothes drying proposed (BESS)</t>
  </si>
  <si>
    <t>Type of HVAC system (resi)</t>
  </si>
  <si>
    <t>Split system</t>
  </si>
  <si>
    <t>VRV/VRF</t>
  </si>
  <si>
    <t>Column1</t>
  </si>
  <si>
    <t>Standard COP</t>
  </si>
  <si>
    <t>Type of HVAC system (heating)</t>
  </si>
  <si>
    <t>Type of HVAC system (cooling)</t>
  </si>
  <si>
    <t>Hydronic heating (heat pump)</t>
  </si>
  <si>
    <t>Hydronic heating (gas)</t>
  </si>
  <si>
    <t>Efficency of HVAC system (heating)</t>
  </si>
  <si>
    <t>Efficency of HVAC system (cooling)</t>
  </si>
  <si>
    <t>Hot water system</t>
  </si>
  <si>
    <t>Heat pump</t>
  </si>
  <si>
    <t>Electric Instantaeous</t>
  </si>
  <si>
    <t xml:space="preserve">Gas </t>
  </si>
  <si>
    <t>Cooktops</t>
  </si>
  <si>
    <t>Electric induction</t>
  </si>
  <si>
    <t>Electric convection</t>
  </si>
  <si>
    <t>Gas</t>
  </si>
  <si>
    <t>Standard Energy use</t>
  </si>
  <si>
    <t>kW/h</t>
  </si>
  <si>
    <t xml:space="preserve">Average heating load </t>
  </si>
  <si>
    <t>MJ/m2</t>
  </si>
  <si>
    <t>Average cooling load</t>
  </si>
  <si>
    <t>Location</t>
  </si>
  <si>
    <t>FR Climate Zone</t>
  </si>
  <si>
    <t>Climate zone</t>
  </si>
  <si>
    <t>MJ/hr</t>
  </si>
  <si>
    <t>21 Melbourne</t>
  </si>
  <si>
    <t>60 Tullamarine</t>
  </si>
  <si>
    <t>62 Moorabbin Airport</t>
  </si>
  <si>
    <t>Climate Zone</t>
  </si>
  <si>
    <t>7</t>
  </si>
  <si>
    <t>7.5</t>
  </si>
  <si>
    <t>8</t>
  </si>
  <si>
    <t>Total ACE MJ/m2</t>
  </si>
  <si>
    <t>Heating and Cooling Demand (kWh)</t>
  </si>
  <si>
    <t>Quantity</t>
  </si>
  <si>
    <t>Unit</t>
  </si>
  <si>
    <t>Reference Star Rating</t>
  </si>
  <si>
    <t>Targeted Star Rating</t>
  </si>
  <si>
    <t xml:space="preserve">Climate Zone </t>
  </si>
  <si>
    <t>N/A</t>
  </si>
  <si>
    <t>Heating &amp; Cooling Load</t>
  </si>
  <si>
    <t>kWh/yr</t>
  </si>
  <si>
    <t>Reference Efficiency HVAC System</t>
  </si>
  <si>
    <t>Reference Heating &amp; Cooling Energy Use</t>
  </si>
  <si>
    <t>Heating &amp; Cooling Energy Use</t>
  </si>
  <si>
    <t>Appliances (kWh)</t>
  </si>
  <si>
    <t>W/m2</t>
  </si>
  <si>
    <t>Targeted averager power density</t>
  </si>
  <si>
    <t>Average hours of use per day</t>
  </si>
  <si>
    <t>hours</t>
  </si>
  <si>
    <t>Reference Appliance Energy Use</t>
  </si>
  <si>
    <t>Appliance Energy Use</t>
  </si>
  <si>
    <t>Lighting (kWh)</t>
  </si>
  <si>
    <t>Reference Lighting Power Density</t>
  </si>
  <si>
    <t>Lighting Power Density</t>
  </si>
  <si>
    <t>Hours of Operation per Day (Living)</t>
  </si>
  <si>
    <t>Hours of Operation per Day (Sleeping)</t>
  </si>
  <si>
    <t>Reference Lighting Energy Use</t>
  </si>
  <si>
    <t>Lighting Energy Use</t>
  </si>
  <si>
    <t>Hot Water (kWh)</t>
  </si>
  <si>
    <t>Reference Total Hot Water Use</t>
  </si>
  <si>
    <t>L/yr</t>
  </si>
  <si>
    <t>Total Hot Water Use</t>
  </si>
  <si>
    <t>Cold Water Temp</t>
  </si>
  <si>
    <t>C</t>
  </si>
  <si>
    <t>Hot Water Temp</t>
  </si>
  <si>
    <t>Water Heat Capacity</t>
  </si>
  <si>
    <t>MJ/L/C</t>
  </si>
  <si>
    <t xml:space="preserve">Reference Energy Required </t>
  </si>
  <si>
    <t xml:space="preserve">Energy Required </t>
  </si>
  <si>
    <t>Reference Hot Water System Efficiency</t>
  </si>
  <si>
    <t>Hot Water System Efficiency</t>
  </si>
  <si>
    <t>Reference Hot Water Energy Use</t>
  </si>
  <si>
    <t>Hot Water Energy Use</t>
  </si>
  <si>
    <t>Efficiency HVAC System (heating)</t>
  </si>
  <si>
    <t>Efficiency HVAC System (cooling)</t>
  </si>
  <si>
    <t>Heating Load</t>
  </si>
  <si>
    <t>Cooling Load</t>
  </si>
  <si>
    <t>Cooktops (kWh)</t>
  </si>
  <si>
    <t>Reference average power density</t>
  </si>
  <si>
    <t>Energy use system</t>
  </si>
  <si>
    <t>Energy Use system</t>
  </si>
  <si>
    <t>hours/day</t>
  </si>
  <si>
    <t>Reference Cooktop Energy Use</t>
  </si>
  <si>
    <t>Cooktop Energy Use</t>
  </si>
  <si>
    <t>Clothes Drying</t>
  </si>
  <si>
    <t>Clothes Drying (kWh)</t>
  </si>
  <si>
    <t>Reference clothes drying</t>
  </si>
  <si>
    <t>Reference</t>
  </si>
  <si>
    <t>Proposed</t>
  </si>
  <si>
    <t>Total</t>
  </si>
  <si>
    <t>Enery Cost</t>
  </si>
  <si>
    <t>Elec Price (normal)</t>
  </si>
  <si>
    <t>Elec Price (GP)</t>
  </si>
  <si>
    <t>Energy Cost per Apt</t>
  </si>
  <si>
    <t>Heating &amp; Cooling</t>
  </si>
  <si>
    <t>Appliances</t>
  </si>
  <si>
    <t>Lighting</t>
  </si>
  <si>
    <t>Hot Water</t>
  </si>
  <si>
    <t>Solar</t>
  </si>
  <si>
    <t>Communal Areas</t>
  </si>
  <si>
    <t>Type of HVAC system retail</t>
  </si>
  <si>
    <t>kWh/m2</t>
  </si>
  <si>
    <t>Hours of Operation per Day</t>
  </si>
  <si>
    <t>Energy Cost</t>
  </si>
  <si>
    <t>Gas Price</t>
  </si>
  <si>
    <t>$/kWh</t>
  </si>
  <si>
    <t>TOTALS</t>
  </si>
  <si>
    <t>Energy Use (kWh/yr)</t>
  </si>
  <si>
    <t>Solar (kWh/yr)</t>
  </si>
  <si>
    <t>GHG Emissions (eqtCO2)</t>
  </si>
  <si>
    <t>786-794 Nicholson St, Fitzroy</t>
  </si>
  <si>
    <t>Area (m2)</t>
  </si>
  <si>
    <t>Heating (kWh)</t>
  </si>
  <si>
    <t>Cooling (kWh)</t>
  </si>
  <si>
    <t>Heating (kWhm2)</t>
  </si>
  <si>
    <t>Cooling (kWh/m2)</t>
  </si>
  <si>
    <t>Total H&amp;C (kWh/m2)</t>
  </si>
  <si>
    <t>303 Collins St, Melbourne</t>
  </si>
  <si>
    <t>14 Martin St, Heidelberg Rd</t>
  </si>
  <si>
    <t>14-18 Smith St</t>
  </si>
  <si>
    <t>13-19 Amsterdam St</t>
  </si>
  <si>
    <t>17-23 Wangaratta St</t>
  </si>
  <si>
    <t>71-89 Moorabool St</t>
  </si>
  <si>
    <t>167-169 Cremorne St</t>
  </si>
  <si>
    <t>18-20 Rutland St</t>
  </si>
  <si>
    <t>85 Dover St</t>
  </si>
  <si>
    <t>40-50 Rokeby St</t>
  </si>
  <si>
    <t>30 Cambridge St</t>
  </si>
  <si>
    <t>32-38 Rokeby St</t>
  </si>
  <si>
    <t>46 Gwynne St</t>
  </si>
  <si>
    <t>22 Black St</t>
  </si>
  <si>
    <t>No. of Lifts</t>
  </si>
  <si>
    <t>Lift Height</t>
  </si>
  <si>
    <t>m</t>
  </si>
  <si>
    <t>Lifts</t>
  </si>
  <si>
    <t>Lifts (kWh)</t>
  </si>
  <si>
    <t>Reference Lift Height</t>
  </si>
  <si>
    <t>Reference Lift Energy Use</t>
  </si>
  <si>
    <t>Communal</t>
  </si>
  <si>
    <t>Carpark Ventilation (kWh)</t>
  </si>
  <si>
    <t>Lighting Carpark (kWh)</t>
  </si>
  <si>
    <t>Lighting Services (kWh)</t>
  </si>
  <si>
    <t>Carpark &amp; Services</t>
  </si>
  <si>
    <t>Carpark Ventilation</t>
  </si>
  <si>
    <t>OR</t>
  </si>
  <si>
    <t>J1V3 Modelling Results</t>
  </si>
  <si>
    <t>Fans</t>
  </si>
  <si>
    <t>Reference Fans</t>
  </si>
  <si>
    <t>Reference Lighting</t>
  </si>
  <si>
    <t>Proposed Fans</t>
  </si>
  <si>
    <t>Proposed Lighting</t>
  </si>
  <si>
    <t>Fan Energy (kWh)</t>
  </si>
  <si>
    <t>Reference Fan Energy</t>
  </si>
  <si>
    <t>Proposed Fan Energy</t>
  </si>
  <si>
    <t>GHG Emission Factor Gas</t>
  </si>
  <si>
    <t>Kg CO2/kWh</t>
  </si>
  <si>
    <t>Solar PV (whole building)</t>
  </si>
  <si>
    <t>Energy source</t>
  </si>
  <si>
    <t>Electric</t>
  </si>
  <si>
    <t xml:space="preserve">Energy Source </t>
  </si>
  <si>
    <t>Energy Source</t>
  </si>
  <si>
    <t>Reference Heating Energy Use (Elec)</t>
  </si>
  <si>
    <t>Reference Cooling Energy Use (Elec)</t>
  </si>
  <si>
    <t>Proposed Heating Energy Use (Elec)</t>
  </si>
  <si>
    <t>Proposed Cooling Energy Use (Elec)</t>
  </si>
  <si>
    <t>Reference Heating Energy Use (Gas)</t>
  </si>
  <si>
    <t>Reference Cooling Energy Use (Gas)</t>
  </si>
  <si>
    <t>Proposed Heating Energy Use (Gas)</t>
  </si>
  <si>
    <t>Proposed Cooling Energy Use (Gas)</t>
  </si>
  <si>
    <t>Heating and Cooling Demand (Elec) (kWh)</t>
  </si>
  <si>
    <t>MJ/yr</t>
  </si>
  <si>
    <t>Heating and Cooling Demand (Gas) (MJ)</t>
  </si>
  <si>
    <t>Heating &amp; Cooling (Elec)</t>
  </si>
  <si>
    <t>Heating &amp; Cooling (Gas)</t>
  </si>
  <si>
    <t>$/MJ</t>
  </si>
  <si>
    <t>Kg CO2/MJ</t>
  </si>
  <si>
    <t>No of occupants</t>
  </si>
  <si>
    <t>Number of occupants</t>
  </si>
  <si>
    <t>Occupants</t>
  </si>
  <si>
    <t>Percentage reduction potable water use (BESS)</t>
  </si>
  <si>
    <t>Percentage reduction potable water (BESS)</t>
  </si>
  <si>
    <t>Carbon Neutral</t>
  </si>
  <si>
    <t>Whole Development</t>
  </si>
  <si>
    <t>Base Building</t>
  </si>
  <si>
    <t>GP GHG emissions</t>
  </si>
  <si>
    <t>Reference Potable Water Use (BESS)</t>
  </si>
  <si>
    <t>Proposed (including rainwater and recycled water use) (BESS)</t>
  </si>
  <si>
    <t>kL/yr</t>
  </si>
  <si>
    <t>Whole Building</t>
  </si>
  <si>
    <t>Proposed (excluding rainwater and recycled water use) (BESS)</t>
  </si>
  <si>
    <t>Whole Building Water Use</t>
  </si>
  <si>
    <t>Rainwater Reuse</t>
  </si>
  <si>
    <t>Efficient FFE</t>
  </si>
  <si>
    <t>Distribution Losses</t>
  </si>
  <si>
    <t>GHG Emission Factor Elec 2024</t>
  </si>
  <si>
    <t>Commercial Kitchen</t>
  </si>
  <si>
    <t>Reference Ventilation</t>
  </si>
  <si>
    <t>GHG Emissions (eqtCO2) With GP</t>
  </si>
  <si>
    <t>None</t>
  </si>
  <si>
    <t>Type</t>
  </si>
  <si>
    <t>N</t>
  </si>
  <si>
    <t>Round down</t>
  </si>
  <si>
    <t>Existing Building Stock</t>
  </si>
  <si>
    <t>Minimum BCA 2022 Compliance</t>
  </si>
  <si>
    <t>3</t>
  </si>
  <si>
    <t>Min. BCA 2022 Compliance</t>
  </si>
  <si>
    <t>Annual Operational Cost Reduction</t>
  </si>
  <si>
    <t>GHG emission</t>
  </si>
  <si>
    <t>Development Address</t>
  </si>
  <si>
    <t>of operating cost reduction per apartment per year compared to minimum BCA 2022 Compliance.</t>
  </si>
  <si>
    <t>Reduction (Cost)</t>
  </si>
  <si>
    <t>Reduction compared to minimum BCA 2022</t>
  </si>
  <si>
    <t>Reduction compared to minimum BCA 2022 (eqtCO2)</t>
  </si>
  <si>
    <t>of operating cost reduction per apartment per year compared to the Existing Building Stock</t>
  </si>
  <si>
    <t>of residential energy reduction compared to minimum BCA 2022 Compliance.</t>
  </si>
  <si>
    <t>reduction in the whole building compared to minimum BCA 2022 Compliance.</t>
  </si>
  <si>
    <t>With Green Power</t>
  </si>
  <si>
    <t>Solar PV (individual systems)</t>
  </si>
  <si>
    <t>kWh/unit</t>
  </si>
  <si>
    <t>Individual Solar PV</t>
  </si>
  <si>
    <t>No. of apartments / THs</t>
  </si>
  <si>
    <t>Average m2 per apartment / TH</t>
  </si>
  <si>
    <t>846-858 Glenferrie Rd, Hawthorn</t>
  </si>
  <si>
    <t>8 Egan St</t>
  </si>
  <si>
    <t>35-37 Mount St</t>
  </si>
  <si>
    <t>Aged Care</t>
  </si>
  <si>
    <t>Educational</t>
  </si>
  <si>
    <t>Kolbe</t>
  </si>
  <si>
    <t>Eastborne Primary</t>
  </si>
  <si>
    <t>St Joseph's College</t>
  </si>
  <si>
    <t>McKinnon Primary</t>
  </si>
  <si>
    <t>Clayton South Primary</t>
  </si>
  <si>
    <t>Gisborne Secondary</t>
  </si>
  <si>
    <t>Casey Central Primary</t>
  </si>
  <si>
    <t>Clyde Creek North Primary</t>
  </si>
  <si>
    <t>Clyde North</t>
  </si>
  <si>
    <t>Average</t>
  </si>
  <si>
    <t>Student accomodation</t>
  </si>
  <si>
    <t>100-102 Bouverie St</t>
  </si>
  <si>
    <t>204-206 King St</t>
  </si>
  <si>
    <t>43 Mackenzie St</t>
  </si>
  <si>
    <t>21-25 Bouverie St</t>
  </si>
  <si>
    <t>Romsey Aged Care</t>
  </si>
  <si>
    <t>102 Shrives Rd</t>
  </si>
  <si>
    <t>20 Tivendale Rd</t>
  </si>
  <si>
    <t>175 MacMahons Rd</t>
  </si>
  <si>
    <t>52 Golf Rd</t>
  </si>
  <si>
    <t>1505 Point Nepean</t>
  </si>
  <si>
    <t>*All results are indicative only, based on preliminary assumptions.</t>
  </si>
  <si>
    <t>Solar (eqtCO2)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</si>
</sst>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_-&quot;$&quot;* #,##0_-;\-&quot;$&quot;* #,##0_-;_-&quot;$&quot;* &quot;-&quot;??_-;_-@_-"/>
    <numFmt numFmtId="167" formatCode="_-* #,##0.0000000_-;\-* #,##0.0000000_-;_-* &quot;-&quot;?????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Roboto Light"/>
    </font>
    <font>
      <b/>
      <sz val="13"/>
      <color theme="0"/>
      <name val="Roboto Light"/>
    </font>
    <font>
      <b/>
      <sz val="11"/>
      <color theme="0"/>
      <name val="Roboto Light"/>
    </font>
    <font>
      <b/>
      <sz val="11"/>
      <color theme="1"/>
      <name val="Roboto Light"/>
    </font>
    <font>
      <sz val="13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22"/>
      <color rgb="FF626262"/>
      <name val="Roboto"/>
    </font>
    <font>
      <sz val="12"/>
      <color rgb="FF626262"/>
      <name val="Aptos Narrow"/>
      <family val="2"/>
      <scheme val="minor"/>
    </font>
    <font>
      <sz val="11.5"/>
      <color rgb="FF626262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9"/>
      <color theme="0" tint="-0.499984740745262"/>
      <name val="Roboto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6" fillId="5" borderId="0" xfId="0" applyFont="1" applyFill="1"/>
    <xf numFmtId="0" fontId="0" fillId="5" borderId="0" xfId="0" applyFill="1"/>
    <xf numFmtId="0" fontId="5" fillId="0" borderId="0" xfId="0" applyFont="1"/>
    <xf numFmtId="0" fontId="4" fillId="6" borderId="0" xfId="3" applyFont="1" applyFill="1"/>
    <xf numFmtId="1" fontId="4" fillId="6" borderId="0" xfId="0" applyNumberFormat="1" applyFont="1" applyFill="1"/>
    <xf numFmtId="0" fontId="4" fillId="6" borderId="0" xfId="0" applyFont="1" applyFill="1"/>
    <xf numFmtId="164" fontId="4" fillId="6" borderId="0" xfId="0" applyNumberFormat="1" applyFont="1" applyFill="1"/>
    <xf numFmtId="43" fontId="0" fillId="5" borderId="0" xfId="1" applyFont="1" applyFill="1"/>
    <xf numFmtId="43" fontId="0" fillId="0" borderId="0" xfId="0" applyNumberFormat="1"/>
    <xf numFmtId="2" fontId="0" fillId="0" borderId="0" xfId="0" applyNumberFormat="1"/>
    <xf numFmtId="0" fontId="0" fillId="7" borderId="0" xfId="0" applyFill="1"/>
    <xf numFmtId="43" fontId="3" fillId="0" borderId="0" xfId="0" applyNumberFormat="1" applyFont="1"/>
    <xf numFmtId="44" fontId="3" fillId="0" borderId="0" xfId="2" applyFont="1"/>
    <xf numFmtId="43" fontId="0" fillId="0" borderId="0" xfId="1" applyFont="1" applyFill="1"/>
    <xf numFmtId="0" fontId="0" fillId="0" borderId="6" xfId="0" applyBorder="1"/>
    <xf numFmtId="0" fontId="0" fillId="0" borderId="8" xfId="0" applyBorder="1"/>
    <xf numFmtId="0" fontId="7" fillId="0" borderId="0" xfId="0" applyFont="1"/>
    <xf numFmtId="0" fontId="7" fillId="0" borderId="9" xfId="0" applyFont="1" applyBorder="1"/>
    <xf numFmtId="0" fontId="7" fillId="8" borderId="9" xfId="0" applyFont="1" applyFill="1" applyBorder="1"/>
    <xf numFmtId="0" fontId="7" fillId="8" borderId="6" xfId="0" applyFont="1" applyFill="1" applyBorder="1"/>
    <xf numFmtId="0" fontId="7" fillId="8" borderId="0" xfId="0" applyFont="1" applyFill="1"/>
    <xf numFmtId="0" fontId="7" fillId="8" borderId="7" xfId="0" applyFont="1" applyFill="1" applyBorder="1"/>
    <xf numFmtId="0" fontId="7" fillId="8" borderId="8" xfId="0" applyFont="1" applyFill="1" applyBorder="1"/>
    <xf numFmtId="0" fontId="7" fillId="8" borderId="10" xfId="0" applyFont="1" applyFill="1" applyBorder="1"/>
    <xf numFmtId="0" fontId="10" fillId="8" borderId="0" xfId="0" applyFont="1" applyFill="1"/>
    <xf numFmtId="0" fontId="7" fillId="8" borderId="11" xfId="0" applyFont="1" applyFill="1" applyBorder="1" applyAlignment="1">
      <alignment horizontal="left" vertical="center"/>
    </xf>
    <xf numFmtId="0" fontId="7" fillId="8" borderId="12" xfId="0" applyFont="1" applyFill="1" applyBorder="1" applyAlignment="1">
      <alignment horizontal="left" vertical="center"/>
    </xf>
    <xf numFmtId="0" fontId="7" fillId="8" borderId="11" xfId="0" applyFont="1" applyFill="1" applyBorder="1" applyAlignment="1">
      <alignment wrapText="1"/>
    </xf>
    <xf numFmtId="0" fontId="7" fillId="8" borderId="12" xfId="0" applyFont="1" applyFill="1" applyBorder="1"/>
    <xf numFmtId="0" fontId="7" fillId="8" borderId="11" xfId="0" applyFont="1" applyFill="1" applyBorder="1"/>
    <xf numFmtId="0" fontId="0" fillId="5" borderId="6" xfId="0" applyFill="1" applyBorder="1"/>
    <xf numFmtId="44" fontId="0" fillId="0" borderId="0" xfId="2" applyFont="1" applyBorder="1"/>
    <xf numFmtId="44" fontId="0" fillId="0" borderId="0" xfId="0" applyNumberFormat="1"/>
    <xf numFmtId="44" fontId="0" fillId="0" borderId="7" xfId="0" applyNumberFormat="1" applyBorder="1"/>
    <xf numFmtId="0" fontId="3" fillId="0" borderId="8" xfId="0" applyFont="1" applyBorder="1"/>
    <xf numFmtId="43" fontId="3" fillId="0" borderId="9" xfId="0" applyNumberFormat="1" applyFont="1" applyBorder="1"/>
    <xf numFmtId="43" fontId="0" fillId="0" borderId="9" xfId="0" applyNumberFormat="1" applyBorder="1"/>
    <xf numFmtId="0" fontId="0" fillId="0" borderId="9" xfId="0" applyBorder="1"/>
    <xf numFmtId="0" fontId="3" fillId="0" borderId="9" xfId="0" applyFont="1" applyBorder="1"/>
    <xf numFmtId="44" fontId="3" fillId="0" borderId="9" xfId="2" applyFont="1" applyBorder="1"/>
    <xf numFmtId="44" fontId="3" fillId="0" borderId="9" xfId="0" applyNumberFormat="1" applyFont="1" applyBorder="1"/>
    <xf numFmtId="44" fontId="3" fillId="0" borderId="10" xfId="0" applyNumberFormat="1" applyFont="1" applyBorder="1"/>
    <xf numFmtId="43" fontId="0" fillId="0" borderId="7" xfId="0" applyNumberFormat="1" applyBorder="1"/>
    <xf numFmtId="43" fontId="3" fillId="0" borderId="10" xfId="0" applyNumberFormat="1" applyFont="1" applyBorder="1"/>
    <xf numFmtId="44" fontId="0" fillId="0" borderId="7" xfId="2" applyFont="1" applyBorder="1"/>
    <xf numFmtId="44" fontId="1" fillId="0" borderId="0" xfId="2" applyFont="1" applyBorder="1"/>
    <xf numFmtId="44" fontId="1" fillId="0" borderId="7" xfId="2" applyFont="1" applyBorder="1"/>
    <xf numFmtId="44" fontId="3" fillId="0" borderId="10" xfId="2" applyFont="1" applyBorder="1"/>
    <xf numFmtId="44" fontId="0" fillId="0" borderId="10" xfId="2" applyFont="1" applyBorder="1"/>
    <xf numFmtId="0" fontId="7" fillId="8" borderId="0" xfId="0" applyFont="1" applyFill="1" applyAlignment="1">
      <alignment horizontal="left" vertical="center"/>
    </xf>
    <xf numFmtId="0" fontId="0" fillId="0" borderId="7" xfId="0" applyBorder="1"/>
    <xf numFmtId="0" fontId="7" fillId="8" borderId="13" xfId="0" applyFont="1" applyFill="1" applyBorder="1"/>
    <xf numFmtId="0" fontId="7" fillId="8" borderId="14" xfId="0" applyFont="1" applyFill="1" applyBorder="1"/>
    <xf numFmtId="0" fontId="7" fillId="8" borderId="0" xfId="0" applyFont="1" applyFill="1" applyAlignment="1">
      <alignment wrapText="1"/>
    </xf>
    <xf numFmtId="0" fontId="7" fillId="8" borderId="6" xfId="0" applyFont="1" applyFill="1" applyBorder="1" applyAlignment="1">
      <alignment wrapText="1"/>
    </xf>
    <xf numFmtId="0" fontId="7" fillId="8" borderId="12" xfId="0" applyFont="1" applyFill="1" applyBorder="1" applyAlignment="1">
      <alignment wrapText="1"/>
    </xf>
    <xf numFmtId="0" fontId="7" fillId="8" borderId="7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3" borderId="12" xfId="0" applyFont="1" applyFill="1" applyBorder="1"/>
    <xf numFmtId="0" fontId="7" fillId="3" borderId="12" xfId="0" applyFont="1" applyFill="1" applyBorder="1" applyAlignment="1">
      <alignment horizontal="right"/>
    </xf>
    <xf numFmtId="0" fontId="7" fillId="8" borderId="0" xfId="0" applyFont="1" applyFill="1" applyAlignment="1">
      <alignment horizontal="right"/>
    </xf>
    <xf numFmtId="0" fontId="7" fillId="3" borderId="11" xfId="0" applyFont="1" applyFill="1" applyBorder="1" applyAlignment="1">
      <alignment horizontal="right"/>
    </xf>
    <xf numFmtId="0" fontId="7" fillId="4" borderId="12" xfId="0" applyFont="1" applyFill="1" applyBorder="1" applyAlignment="1">
      <alignment horizontal="right"/>
    </xf>
    <xf numFmtId="0" fontId="7" fillId="3" borderId="11" xfId="0" applyFont="1" applyFill="1" applyBorder="1"/>
    <xf numFmtId="0" fontId="7" fillId="3" borderId="12" xfId="0" applyFont="1" applyFill="1" applyBorder="1" applyAlignment="1">
      <alignment wrapText="1"/>
    </xf>
    <xf numFmtId="0" fontId="7" fillId="3" borderId="12" xfId="0" applyFont="1" applyFill="1" applyBorder="1" applyAlignment="1">
      <alignment horizontal="right" wrapText="1"/>
    </xf>
    <xf numFmtId="0" fontId="7" fillId="8" borderId="13" xfId="0" applyFont="1" applyFill="1" applyBorder="1" applyAlignment="1">
      <alignment wrapText="1"/>
    </xf>
    <xf numFmtId="0" fontId="7" fillId="3" borderId="13" xfId="0" applyFont="1" applyFill="1" applyBorder="1" applyAlignment="1">
      <alignment wrapText="1"/>
    </xf>
    <xf numFmtId="0" fontId="0" fillId="0" borderId="10" xfId="0" applyBorder="1"/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9" fontId="3" fillId="0" borderId="9" xfId="4" applyFont="1" applyBorder="1"/>
    <xf numFmtId="9" fontId="3" fillId="0" borderId="10" xfId="4" applyFont="1" applyBorder="1"/>
    <xf numFmtId="0" fontId="3" fillId="0" borderId="6" xfId="0" applyFont="1" applyBorder="1"/>
    <xf numFmtId="43" fontId="3" fillId="0" borderId="7" xfId="0" applyNumberFormat="1" applyFont="1" applyBorder="1"/>
    <xf numFmtId="0" fontId="0" fillId="0" borderId="0" xfId="0" applyAlignment="1">
      <alignment wrapText="1"/>
    </xf>
    <xf numFmtId="9" fontId="0" fillId="0" borderId="0" xfId="4" applyFont="1" applyBorder="1"/>
    <xf numFmtId="9" fontId="0" fillId="0" borderId="9" xfId="4" applyFont="1" applyBorder="1"/>
    <xf numFmtId="44" fontId="3" fillId="0" borderId="0" xfId="0" applyNumberFormat="1" applyFont="1"/>
    <xf numFmtId="0" fontId="12" fillId="0" borderId="0" xfId="0" applyFont="1"/>
    <xf numFmtId="9" fontId="4" fillId="6" borderId="0" xfId="3" applyNumberFormat="1" applyFont="1" applyFill="1"/>
    <xf numFmtId="0" fontId="4" fillId="0" borderId="0" xfId="3" applyFont="1" applyFill="1"/>
    <xf numFmtId="0" fontId="13" fillId="0" borderId="0" xfId="0" applyFont="1"/>
    <xf numFmtId="164" fontId="4" fillId="6" borderId="0" xfId="3" applyNumberFormat="1" applyFont="1" applyFill="1"/>
    <xf numFmtId="0" fontId="0" fillId="5" borderId="0" xfId="0" applyFill="1" applyAlignment="1">
      <alignment wrapText="1"/>
    </xf>
    <xf numFmtId="164" fontId="7" fillId="3" borderId="12" xfId="0" applyNumberFormat="1" applyFont="1" applyFill="1" applyBorder="1"/>
    <xf numFmtId="0" fontId="0" fillId="0" borderId="9" xfId="0" applyBorder="1" applyAlignment="1">
      <alignment wrapText="1"/>
    </xf>
    <xf numFmtId="0" fontId="7" fillId="0" borderId="15" xfId="0" applyFont="1" applyBorder="1"/>
    <xf numFmtId="0" fontId="7" fillId="0" borderId="16" xfId="0" applyFont="1" applyBorder="1"/>
    <xf numFmtId="6" fontId="14" fillId="8" borderId="0" xfId="4" applyNumberFormat="1" applyFont="1" applyFill="1" applyBorder="1" applyAlignment="1">
      <alignment horizontal="left" vertical="top"/>
    </xf>
    <xf numFmtId="44" fontId="3" fillId="0" borderId="0" xfId="2" applyFont="1" applyBorder="1"/>
    <xf numFmtId="0" fontId="0" fillId="5" borderId="7" xfId="0" applyFill="1" applyBorder="1" applyAlignment="1">
      <alignment wrapText="1"/>
    </xf>
    <xf numFmtId="43" fontId="3" fillId="0" borderId="9" xfId="4" applyNumberFormat="1" applyFont="1" applyBorder="1"/>
    <xf numFmtId="166" fontId="3" fillId="0" borderId="0" xfId="0" applyNumberFormat="1" applyFont="1" applyAlignment="1">
      <alignment wrapText="1"/>
    </xf>
    <xf numFmtId="43" fontId="0" fillId="5" borderId="0" xfId="0" applyNumberFormat="1" applyFill="1" applyAlignment="1">
      <alignment wrapText="1"/>
    </xf>
    <xf numFmtId="0" fontId="7" fillId="11" borderId="12" xfId="0" applyFont="1" applyFill="1" applyBorder="1" applyAlignment="1">
      <alignment horizontal="right"/>
    </xf>
    <xf numFmtId="0" fontId="7" fillId="11" borderId="11" xfId="0" applyFont="1" applyFill="1" applyBorder="1" applyAlignment="1">
      <alignment horizontal="right"/>
    </xf>
    <xf numFmtId="1" fontId="7" fillId="11" borderId="12" xfId="0" applyNumberFormat="1" applyFont="1" applyFill="1" applyBorder="1" applyAlignment="1">
      <alignment horizontal="right"/>
    </xf>
    <xf numFmtId="2" fontId="17" fillId="0" borderId="0" xfId="0" applyNumberFormat="1" applyFont="1"/>
    <xf numFmtId="0" fontId="11" fillId="0" borderId="0" xfId="0" applyFont="1" applyAlignment="1">
      <alignment horizontal="center"/>
    </xf>
    <xf numFmtId="6" fontId="18" fillId="8" borderId="0" xfId="4" applyNumberFormat="1" applyFont="1" applyFill="1" applyBorder="1" applyAlignment="1">
      <alignment horizontal="right" vertical="center"/>
    </xf>
    <xf numFmtId="3" fontId="14" fillId="8" borderId="0" xfId="0" applyNumberFormat="1" applyFont="1" applyFill="1" applyAlignment="1">
      <alignment horizontal="left" vertical="top"/>
    </xf>
    <xf numFmtId="0" fontId="14" fillId="8" borderId="0" xfId="0" applyFont="1" applyFill="1" applyAlignment="1">
      <alignment horizontal="left" vertical="top"/>
    </xf>
    <xf numFmtId="0" fontId="0" fillId="8" borderId="0" xfId="0" applyFill="1" applyAlignment="1">
      <alignment horizontal="left" vertical="center" readingOrder="1"/>
    </xf>
    <xf numFmtId="0" fontId="7" fillId="8" borderId="0" xfId="0" applyFont="1" applyFill="1" applyAlignment="1">
      <alignment horizontal="left"/>
    </xf>
    <xf numFmtId="0" fontId="15" fillId="8" borderId="0" xfId="0" applyFont="1" applyFill="1" applyAlignment="1">
      <alignment horizontal="left" vertical="center"/>
    </xf>
    <xf numFmtId="0" fontId="7" fillId="8" borderId="0" xfId="0" applyFont="1" applyFill="1" applyAlignment="1">
      <alignment vertical="top"/>
    </xf>
    <xf numFmtId="0" fontId="15" fillId="8" borderId="0" xfId="0" applyFont="1" applyFill="1" applyAlignment="1">
      <alignment horizontal="left" vertical="center" wrapText="1"/>
    </xf>
    <xf numFmtId="0" fontId="15" fillId="8" borderId="0" xfId="0" applyFont="1" applyFill="1" applyAlignment="1">
      <alignment vertical="center" wrapText="1"/>
    </xf>
    <xf numFmtId="0" fontId="7" fillId="12" borderId="0" xfId="0" applyFont="1" applyFill="1"/>
    <xf numFmtId="167" fontId="0" fillId="0" borderId="0" xfId="0" applyNumberFormat="1"/>
    <xf numFmtId="44" fontId="0" fillId="0" borderId="0" xfId="2" applyFont="1"/>
    <xf numFmtId="0" fontId="3" fillId="0" borderId="18" xfId="0" applyFont="1" applyBorder="1"/>
    <xf numFmtId="43" fontId="3" fillId="0" borderId="19" xfId="0" applyNumberFormat="1" applyFont="1" applyBorder="1"/>
    <xf numFmtId="43" fontId="3" fillId="0" borderId="20" xfId="0" applyNumberFormat="1" applyFont="1" applyBorder="1"/>
    <xf numFmtId="165" fontId="3" fillId="0" borderId="17" xfId="0" applyNumberFormat="1" applyFont="1" applyBorder="1"/>
    <xf numFmtId="6" fontId="14" fillId="8" borderId="0" xfId="4" applyNumberFormat="1" applyFont="1" applyFill="1" applyBorder="1" applyAlignment="1">
      <alignment horizontal="right" vertical="center"/>
    </xf>
    <xf numFmtId="0" fontId="16" fillId="8" borderId="0" xfId="0" applyFont="1" applyFill="1" applyAlignment="1">
      <alignment horizontal="left" vertical="center" wrapText="1"/>
    </xf>
    <xf numFmtId="3" fontId="14" fillId="8" borderId="0" xfId="0" applyNumberFormat="1" applyFont="1" applyFill="1" applyAlignment="1">
      <alignment horizontal="right" vertical="top"/>
    </xf>
    <xf numFmtId="0" fontId="14" fillId="8" borderId="0" xfId="0" applyFont="1" applyFill="1" applyAlignment="1">
      <alignment horizontal="right" vertical="top"/>
    </xf>
    <xf numFmtId="3" fontId="14" fillId="8" borderId="0" xfId="0" applyNumberFormat="1" applyFont="1" applyFill="1" applyAlignment="1">
      <alignment horizontal="left" vertical="top"/>
    </xf>
    <xf numFmtId="0" fontId="14" fillId="8" borderId="0" xfId="0" applyFont="1" applyFill="1" applyAlignment="1">
      <alignment horizontal="left" vertical="top"/>
    </xf>
    <xf numFmtId="9" fontId="14" fillId="8" borderId="0" xfId="4" applyFont="1" applyFill="1" applyBorder="1" applyAlignment="1">
      <alignment horizontal="right" vertical="top"/>
    </xf>
    <xf numFmtId="0" fontId="10" fillId="9" borderId="0" xfId="0" applyFont="1" applyFill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Good" xfId="3" builtinId="26"/>
    <cellStyle name="Normal" xfId="0" builtinId="0"/>
    <cellStyle name="Percent" xfId="4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</dxfs>
  <tableStyles count="0" defaultTableStyle="TableStyleMedium2" defaultPivotStyle="PivotStyleLight16"/>
  <colors>
    <mruColors>
      <color rgb="FF828282"/>
      <color rgb="FF30FF8D"/>
      <color rgb="FF00C859"/>
      <color rgb="FF007A37"/>
      <color rgb="FF009342"/>
      <color rgb="FF63D495"/>
      <color rgb="FF23C16A"/>
      <color rgb="FF00602B"/>
      <color rgb="FF096128"/>
      <color rgb="FF0089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3271770864146"/>
          <c:y val="9.3113327462613998E-2"/>
          <c:w val="0.83245947610425186"/>
          <c:h val="0.758537789440763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'Totals Residential &amp; Mixed-Use'!$E$7</c:f>
              <c:strCache>
                <c:ptCount val="1"/>
                <c:pt idx="0">
                  <c:v> Min. BCA 2022 Compliance </c:v>
                </c:pt>
              </c:strCache>
            </c:strRef>
          </c:tx>
          <c:spPr>
            <a:solidFill>
              <a:srgbClr val="00893E"/>
            </a:solidFill>
            <a:ln w="44450" cap="rnd" cmpd="sng">
              <a:solidFill>
                <a:srgbClr val="00893E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'Totals Residential &amp; Mixed-Use'!$C$8:$C$15</c15:sqref>
                  </c15:fullRef>
                </c:ext>
              </c:extLst>
              <c:f>'Totals Residential &amp; Mixed-Use'!$C$8:$C$14</c:f>
              <c:strCache>
                <c:ptCount val="7"/>
                <c:pt idx="0">
                  <c:v>Heating &amp; Cooling</c:v>
                </c:pt>
                <c:pt idx="1">
                  <c:v>Appliances</c:v>
                </c:pt>
                <c:pt idx="2">
                  <c:v>Lighting</c:v>
                </c:pt>
                <c:pt idx="3">
                  <c:v>Hot Water</c:v>
                </c:pt>
                <c:pt idx="4">
                  <c:v>Cooktops</c:v>
                </c:pt>
                <c:pt idx="5">
                  <c:v>Clothes Drying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'Totals Residential &amp; Mixed-Use'!$E$8:$E$15</c15:sqref>
                  </c15:fullRef>
                </c:ext>
              </c:extLst>
              <c:f>'Totals Residential &amp; Mixed-Use'!$E$8:$E$14</c:f>
              <c:numCache>
                <c:formatCode>General</c:formatCode>
                <c:ptCount val="7"/>
                <c:pt idx="0" formatCode="_(* #,##0.00_);_(* \(#,##0.00\);_(* &quot;-&quot;??_);_(@_)">
                  <c:v>#N/A</c:v>
                </c:pt>
                <c:pt idx="1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E-4F31-8286-634EB58C12B3}"/>
            </c:ext>
          </c:extLst>
        </c:ser>
        <c:ser>
          <c:idx val="1"/>
          <c:order val="1"/>
          <c:tx>
            <c:strRef>
              <c:f>'Totals Residential &amp; Mixed-Use'!$F$7</c:f>
              <c:strCache>
                <c:ptCount val="1"/>
                <c:pt idx="0">
                  <c:v> -   </c:v>
                </c:pt>
              </c:strCache>
            </c:strRef>
          </c:tx>
          <c:spPr>
            <a:solidFill>
              <a:srgbClr val="7DC6A0"/>
            </a:solidFill>
            <a:ln w="44450" cap="rnd" cmpd="sng">
              <a:solidFill>
                <a:srgbClr val="7DC6A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'Totals Residential &amp; Mixed-Use'!$C$8:$C$15</c15:sqref>
                  </c15:fullRef>
                </c:ext>
              </c:extLst>
              <c:f>'Totals Residential &amp; Mixed-Use'!$C$8:$C$14</c:f>
              <c:strCache>
                <c:ptCount val="7"/>
                <c:pt idx="0">
                  <c:v>Heating &amp; Cooling</c:v>
                </c:pt>
                <c:pt idx="1">
                  <c:v>Appliances</c:v>
                </c:pt>
                <c:pt idx="2">
                  <c:v>Lighting</c:v>
                </c:pt>
                <c:pt idx="3">
                  <c:v>Hot Water</c:v>
                </c:pt>
                <c:pt idx="4">
                  <c:v>Cooktops</c:v>
                </c:pt>
                <c:pt idx="5">
                  <c:v>Clothes Drying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'Totals Residential &amp; Mixed-Use'!$F$8:$F$15</c15:sqref>
                  </c15:fullRef>
                </c:ext>
              </c:extLst>
              <c:f>'Totals Residential &amp; Mixed-Use'!$F$8:$F$14</c:f>
              <c:numCache>
                <c:formatCode>_(* #,##0.00_);_(* \(#,##0.00\);_(*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CE-4F31-8286-634EB58C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20"/>
        <c:axId val="1117054736"/>
        <c:axId val="1117052816"/>
      </c:barChart>
      <c:catAx>
        <c:axId val="111705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PT Bold Dusky" panose="02010400000000000000" pitchFamily="2" charset="-78"/>
              </a:defRPr>
            </a:pPr>
            <a:endParaRPr lang="en-US"/>
          </a:p>
        </c:txPr>
        <c:crossAx val="1117052816"/>
        <c:crosses val="autoZero"/>
        <c:auto val="1"/>
        <c:lblAlgn val="ctr"/>
        <c:lblOffset val="100"/>
        <c:noMultiLvlLbl val="0"/>
      </c:catAx>
      <c:valAx>
        <c:axId val="1117052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en-CA"/>
                  <a:t>kWh/yr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1170547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46242465601456E-2"/>
          <c:y val="0.12161944869831549"/>
          <c:w val="0.88905865916205351"/>
          <c:h val="0.5931133957868521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'Totals Residential &amp; Mixed-Use'!$H$56</c:f>
              <c:strCache>
                <c:ptCount val="1"/>
                <c:pt idx="0">
                  <c:v> Residential </c:v>
                </c:pt>
              </c:strCache>
            </c:strRef>
          </c:tx>
          <c:spPr>
            <a:solidFill>
              <a:srgbClr val="7DC6A0"/>
            </a:solidFill>
            <a:ln w="44450" cap="sq">
              <a:solidFill>
                <a:srgbClr val="7DC6A0"/>
              </a:solidFill>
            </a:ln>
            <a:effectLst/>
          </c:spPr>
          <c:invertIfNegative val="0"/>
          <c:cat>
            <c:strRef>
              <c:f>('Totals Residential &amp; Mixed-Use'!$J$55:$K$55,'Totals Residential &amp; Mixed-Use'!$P$55)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With Green Power</c:v>
                </c:pt>
              </c:strCache>
            </c:strRef>
          </c:cat>
          <c:val>
            <c:numRef>
              <c:f>('Totals Residential &amp; Mixed-Use'!$J$56:$K$56,'Totals Residential &amp; Mixed-Use'!$P$56)</c:f>
              <c:numCache>
                <c:formatCode>_(* #,##0.00_);_(* \(#,##0.00\);_(* "-"??_);_(@_)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F-454C-8849-5B15EA58AD3E}"/>
            </c:ext>
          </c:extLst>
        </c:ser>
        <c:ser>
          <c:idx val="1"/>
          <c:order val="1"/>
          <c:tx>
            <c:strRef>
              <c:f>'Totals Residential &amp; Mixed-Use'!$H$57</c:f>
              <c:strCache>
                <c:ptCount val="1"/>
                <c:pt idx="0">
                  <c:v> Communal </c:v>
                </c:pt>
              </c:strCache>
            </c:strRef>
          </c:tx>
          <c:spPr>
            <a:solidFill>
              <a:srgbClr val="00893E"/>
            </a:solidFill>
            <a:ln w="44450" cap="rnd">
              <a:solidFill>
                <a:srgbClr val="00893E"/>
              </a:solidFill>
            </a:ln>
            <a:effectLst/>
          </c:spPr>
          <c:invertIfNegative val="0"/>
          <c:cat>
            <c:strRef>
              <c:f>('Totals Residential &amp; Mixed-Use'!$J$55:$K$55,'Totals Residential &amp; Mixed-Use'!$P$55)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With Green Power</c:v>
                </c:pt>
              </c:strCache>
            </c:strRef>
          </c:cat>
          <c:val>
            <c:numRef>
              <c:f>('Totals Residential &amp; Mixed-Use'!$J$57:$K$57,'Totals Residential &amp; Mixed-Use'!$P$57)</c:f>
              <c:numCache>
                <c:formatCode>_(* #,##0.00_);_(* \(#,##0.00\);_(* "-"??_);_(@_)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F-454C-8849-5B15EA58AD3E}"/>
            </c:ext>
          </c:extLst>
        </c:ser>
        <c:ser>
          <c:idx val="2"/>
          <c:order val="2"/>
          <c:tx>
            <c:strRef>
              <c:f>'Totals Residential &amp; Mixed-Use'!$H$58</c:f>
              <c:strCache>
                <c:ptCount val="1"/>
                <c:pt idx="0">
                  <c:v> Retail </c:v>
                </c:pt>
              </c:strCache>
            </c:strRef>
          </c:tx>
          <c:spPr>
            <a:solidFill>
              <a:srgbClr val="007434"/>
            </a:solidFill>
            <a:ln w="44450" cap="rnd">
              <a:solidFill>
                <a:srgbClr val="007434"/>
              </a:solidFill>
            </a:ln>
            <a:effectLst/>
          </c:spPr>
          <c:invertIfNegative val="0"/>
          <c:cat>
            <c:strRef>
              <c:f>('Totals Residential &amp; Mixed-Use'!$J$55:$K$55,'Totals Residential &amp; Mixed-Use'!$P$55)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With Green Power</c:v>
                </c:pt>
              </c:strCache>
            </c:strRef>
          </c:cat>
          <c:val>
            <c:numRef>
              <c:f>('Totals Residential &amp; Mixed-Use'!$J$58:$K$58,'Totals Residential &amp; Mixed-Use'!$P$58)</c:f>
              <c:numCache>
                <c:formatCode>_(* #,##0.00_);_(* \(#,##0.00\);_(* "-"??_);_(@_)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F-454C-8849-5B15EA58AD3E}"/>
            </c:ext>
          </c:extLst>
        </c:ser>
        <c:ser>
          <c:idx val="3"/>
          <c:order val="3"/>
          <c:tx>
            <c:strRef>
              <c:f>'Totals Residential &amp; Mixed-Use'!$H$59</c:f>
              <c:strCache>
                <c:ptCount val="1"/>
                <c:pt idx="0">
                  <c:v> Office </c:v>
                </c:pt>
              </c:strCache>
            </c:strRef>
          </c:tx>
          <c:spPr>
            <a:solidFill>
              <a:srgbClr val="00833B"/>
            </a:solidFill>
            <a:ln w="44450">
              <a:solidFill>
                <a:srgbClr val="00833B"/>
              </a:solidFill>
            </a:ln>
            <a:effectLst/>
          </c:spPr>
          <c:invertIfNegative val="0"/>
          <c:cat>
            <c:strRef>
              <c:f>('Totals Residential &amp; Mixed-Use'!$J$55:$K$55,'Totals Residential &amp; Mixed-Use'!$P$55)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With Green Power</c:v>
                </c:pt>
              </c:strCache>
            </c:strRef>
          </c:cat>
          <c:val>
            <c:numRef>
              <c:f>('Totals Residential &amp; Mixed-Use'!$J$59:$K$59,'Totals Residential &amp; Mixed-Use'!$P$59)</c:f>
              <c:numCache>
                <c:formatCode>_(* #,##0.00_);_(* \(#,##0.00\);_(* "-"??_);_(@_)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CF-454C-8849-5B15EA58AD3E}"/>
            </c:ext>
          </c:extLst>
        </c:ser>
        <c:ser>
          <c:idx val="4"/>
          <c:order val="4"/>
          <c:tx>
            <c:strRef>
              <c:f>'Totals Residential &amp; Mixed-Use'!$H$60</c:f>
              <c:strCache>
                <c:ptCount val="1"/>
                <c:pt idx="0">
                  <c:v> Carpark &amp; Services </c:v>
                </c:pt>
              </c:strCache>
            </c:strRef>
          </c:tx>
          <c:spPr>
            <a:solidFill>
              <a:srgbClr val="00602B"/>
            </a:solidFill>
            <a:ln w="44450" cap="rnd">
              <a:solidFill>
                <a:srgbClr val="00602B"/>
              </a:solidFill>
            </a:ln>
            <a:effectLst/>
          </c:spPr>
          <c:invertIfNegative val="0"/>
          <c:cat>
            <c:strRef>
              <c:f>('Totals Residential &amp; Mixed-Use'!$J$55:$K$55,'Totals Residential &amp; Mixed-Use'!$P$55)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With Green Power</c:v>
                </c:pt>
              </c:strCache>
            </c:strRef>
          </c:cat>
          <c:val>
            <c:numRef>
              <c:f>('Totals Residential &amp; Mixed-Use'!$J$60:$K$60,'Totals Residential &amp; Mixed-Use'!$P$60)</c:f>
              <c:numCache>
                <c:formatCode>_(* #,##0.00_);_(* \(#,##0.00\);_(*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CF-454C-8849-5B15EA58AD3E}"/>
            </c:ext>
          </c:extLst>
        </c:ser>
        <c:ser>
          <c:idx val="5"/>
          <c:order val="5"/>
          <c:tx>
            <c:strRef>
              <c:f>'Totals Residential &amp; Mixed-Use'!$H$61</c:f>
              <c:strCache>
                <c:ptCount val="1"/>
                <c:pt idx="0">
                  <c:v> Solar </c:v>
                </c:pt>
              </c:strCache>
            </c:strRef>
          </c:tx>
          <c:spPr>
            <a:solidFill>
              <a:srgbClr val="30FF8D"/>
            </a:solidFill>
            <a:ln w="44450" cap="rnd">
              <a:solidFill>
                <a:schemeClr val="accent4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('Totals Residential &amp; Mixed-Use'!$J$55:$K$55,'Totals Residential &amp; Mixed-Use'!$P$55)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With Green Power</c:v>
                </c:pt>
              </c:strCache>
            </c:strRef>
          </c:cat>
          <c:val>
            <c:numRef>
              <c:f>('Totals Residential &amp; Mixed-Use'!$J$61:$K$61,'Totals Residential &amp; Mixed-Use'!$P$61)</c:f>
              <c:numCache>
                <c:formatCode>_(* #,##0.00_);_(* \(#,##0.00\);_(*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CF-454C-8849-5B15EA58A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65112079"/>
        <c:axId val="565109679"/>
      </c:barChart>
      <c:catAx>
        <c:axId val="565112079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565109679"/>
        <c:crosses val="autoZero"/>
        <c:auto val="0"/>
        <c:lblAlgn val="ctr"/>
        <c:lblOffset val="100"/>
        <c:noMultiLvlLbl val="0"/>
      </c:catAx>
      <c:valAx>
        <c:axId val="56510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en-CA"/>
                  <a:t>tCO2eq/yr</a:t>
                </a:r>
              </a:p>
              <a:p>
                <a:pPr>
                  <a:defRPr/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28282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5651120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828282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08307164676614E-3"/>
          <c:y val="0.10307793130718755"/>
          <c:w val="0.99579162676556721"/>
          <c:h val="0.896105055568043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'Totals Residential &amp; Mixed-Use'!$X$7</c:f>
              <c:strCache>
                <c:ptCount val="1"/>
                <c:pt idx="0">
                  <c:v> Existing Building Stock </c:v>
                </c:pt>
              </c:strCache>
            </c:strRef>
          </c:tx>
          <c:spPr>
            <a:solidFill>
              <a:srgbClr val="00602B">
                <a:alpha val="85000"/>
              </a:srgbClr>
            </a:solidFill>
            <a:ln w="44450" cap="flat" cmpd="sng" algn="ctr">
              <a:solidFill>
                <a:srgbClr val="007434"/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602B"/>
              </a:solidFill>
              <a:ln w="44450" cap="flat" cmpd="sng" algn="ctr">
                <a:solidFill>
                  <a:srgbClr val="00602B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D2-415E-A20C-59C2612D2376}"/>
              </c:ext>
            </c:extLst>
          </c:dPt>
          <c:dLbls>
            <c:dLbl>
              <c:idx val="0"/>
              <c:layout>
                <c:manualLayout>
                  <c:x val="-6.4899669827201412E-2"/>
                  <c:y val="-1.346280106430768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D2-415E-A20C-59C2612D2376}"/>
                </c:ext>
              </c:extLst>
            </c:dLbl>
            <c:numFmt formatCode="_(&quot;$&quot;* #,##0_);_(&quot;$&quot;* \(#,##0\);_(&quot;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'Totals Residential &amp; Mixed-Use'!$X$15</c:f>
              <c:numCache>
                <c:formatCode>_("$"* #,##0.00_);_("$"* \(#,##0.00\);_("$"* "-"??_);_(@_)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D2-415E-A20C-59C2612D2376}"/>
            </c:ext>
          </c:extLst>
        </c:ser>
        <c:ser>
          <c:idx val="1"/>
          <c:order val="1"/>
          <c:tx>
            <c:strRef>
              <c:f>'Totals Residential &amp; Mixed-Use'!$Y$7</c:f>
              <c:strCache>
                <c:ptCount val="1"/>
                <c:pt idx="0">
                  <c:v> Min. BCA 2022 Compliance </c:v>
                </c:pt>
              </c:strCache>
            </c:strRef>
          </c:tx>
          <c:spPr>
            <a:solidFill>
              <a:srgbClr val="00893E"/>
            </a:solidFill>
            <a:ln w="44450" cap="flat" cmpd="sng" algn="ctr">
              <a:solidFill>
                <a:schemeClr val="accent1"/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9.0346348143716712E-2"/>
                  <c:y val="7.4750336915581049E-3"/>
                </c:manualLayout>
              </c:layout>
              <c:numFmt formatCode="_(&quot;$&quot;* #,##0_);_(&quot;$&quot;* \(#,##0\);_(&quot;$&quot;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Roboto Light" panose="02000000000000000000" pitchFamily="2" charset="0"/>
                      <a:ea typeface="Roboto Light" panose="02000000000000000000" pitchFamily="2" charset="0"/>
                      <a:cs typeface="Roboto Light" panose="02000000000000000000" pitchFamily="2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D2-415E-A20C-59C2612D2376}"/>
                </c:ext>
              </c:extLst>
            </c:dLbl>
            <c:numFmt formatCode="_(&quot;$&quot;* #,##0_);_(&quot;$&quot;* \(#,##0\);_(&quot;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'Totals Residential &amp; Mixed-Use'!$Y$15</c:f>
              <c:numCache>
                <c:formatCode>_("$"* #,##0.00_);_("$"* \(#,##0.00\);_("$"* "-"??_);_(@_)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D2-415E-A20C-59C2612D2376}"/>
            </c:ext>
          </c:extLst>
        </c:ser>
        <c:ser>
          <c:idx val="2"/>
          <c:order val="2"/>
          <c:tx>
            <c:strRef>
              <c:f>'Totals Residential &amp; Mixed-Use'!$Z$7</c:f>
              <c:strCache>
                <c:ptCount val="1"/>
                <c:pt idx="0">
                  <c:v> -   </c:v>
                </c:pt>
              </c:strCache>
            </c:strRef>
          </c:tx>
          <c:spPr>
            <a:solidFill>
              <a:srgbClr val="7DC6A0"/>
            </a:solidFill>
            <a:ln w="41275" cap="rnd" cmpd="sng" algn="ctr">
              <a:solidFill>
                <a:srgbClr val="7DC6A0"/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DC6A0"/>
              </a:solidFill>
              <a:ln w="44450" cap="rnd" cmpd="sng" algn="ctr">
                <a:solidFill>
                  <a:srgbClr val="7DC6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D2-415E-A20C-59C2612D2376}"/>
              </c:ext>
            </c:extLst>
          </c:dPt>
          <c:dLbls>
            <c:dLbl>
              <c:idx val="0"/>
              <c:layout>
                <c:manualLayout>
                  <c:x val="-8.0367754951537251E-2"/>
                  <c:y val="0"/>
                </c:manualLayout>
              </c:layout>
              <c:tx>
                <c:rich>
                  <a:bodyPr/>
                  <a:lstStyle/>
                  <a:p>
                    <a:fld id="{1447F206-A3A2-4D95-B752-D4860933426D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CA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9D2-415E-A20C-59C2612D2376}"/>
                </c:ext>
              </c:extLst>
            </c:dLbl>
            <c:numFmt formatCode="_(&quot;$&quot;* #,##0_);_(&quot;$&quot;* \(#,##0\);_(&quot;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6000" tIns="0" rIns="38100" bIns="19050" anchor="t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'Totals Residential &amp; Mixed-Use'!$Z$15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D2-415E-A20C-59C2612D2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26"/>
        <c:axId val="1531742159"/>
        <c:axId val="1531754639"/>
      </c:barChart>
      <c:catAx>
        <c:axId val="1531742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1754639"/>
        <c:crosses val="autoZero"/>
        <c:auto val="1"/>
        <c:lblAlgn val="ctr"/>
        <c:lblOffset val="100"/>
        <c:noMultiLvlLbl val="0"/>
      </c:catAx>
      <c:valAx>
        <c:axId val="1531754639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53174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28282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28282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28282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r>
              <a:rPr lang="en-CA"/>
              <a:t>Residential Energy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'Totals Residential &amp; Mixed-Use'!$E$7</c:f>
              <c:strCache>
                <c:ptCount val="1"/>
                <c:pt idx="0">
                  <c:v> Min. BCA 2022 Compliance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'Totals Residential &amp; Mixed-Use'!$C$8:$C$15</c:f>
              <c:strCache>
                <c:ptCount val="8"/>
                <c:pt idx="0">
                  <c:v>Heating &amp; Cooling</c:v>
                </c:pt>
                <c:pt idx="1">
                  <c:v>Appliances</c:v>
                </c:pt>
                <c:pt idx="2">
                  <c:v>Lighting</c:v>
                </c:pt>
                <c:pt idx="3">
                  <c:v>Hot Water</c:v>
                </c:pt>
                <c:pt idx="4">
                  <c:v>Cooktops</c:v>
                </c:pt>
                <c:pt idx="5">
                  <c:v>Clothes Drying</c:v>
                </c:pt>
                <c:pt idx="7">
                  <c:v>Total</c:v>
                </c:pt>
              </c:strCache>
            </c:strRef>
          </c:cat>
          <c:val>
            <c:numRef>
              <c:f>'Totals Residential &amp; Mixed-Use'!$E$8:$E$15</c:f>
              <c:numCache>
                <c:formatCode>General</c:formatCode>
                <c:ptCount val="8"/>
                <c:pt idx="0" formatCode="_(* #,##0.00_);_(* \(#,##0.00\);_(* &quot;-&quot;??_);_(@_)">
                  <c:v>#N/A</c:v>
                </c:pt>
                <c:pt idx="1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7" formatCode="_(* #,##0.00_);_(* \(#,##0.00\);_(* &quot;-&quot;??_);_(@_)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B-4384-984E-16EFF4B2EA04}"/>
            </c:ext>
          </c:extLst>
        </c:ser>
        <c:ser>
          <c:idx val="1"/>
          <c:order val="1"/>
          <c:tx>
            <c:strRef>
              <c:f>'Totals Residential &amp; Mixed-Use'!$F$7</c:f>
              <c:strCache>
                <c:ptCount val="1"/>
                <c:pt idx="0">
                  <c:v> -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'Totals Residential &amp; Mixed-Use'!$C$8:$C$15</c:f>
              <c:strCache>
                <c:ptCount val="8"/>
                <c:pt idx="0">
                  <c:v>Heating &amp; Cooling</c:v>
                </c:pt>
                <c:pt idx="1">
                  <c:v>Appliances</c:v>
                </c:pt>
                <c:pt idx="2">
                  <c:v>Lighting</c:v>
                </c:pt>
                <c:pt idx="3">
                  <c:v>Hot Water</c:v>
                </c:pt>
                <c:pt idx="4">
                  <c:v>Cooktops</c:v>
                </c:pt>
                <c:pt idx="5">
                  <c:v>Clothes Drying</c:v>
                </c:pt>
                <c:pt idx="7">
                  <c:v>Total</c:v>
                </c:pt>
              </c:strCache>
            </c:strRef>
          </c:cat>
          <c:val>
            <c:numRef>
              <c:f>'Totals Residential &amp; Mixed-Use'!$F$8:$F$15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  <c:pt idx="4">
                  <c:v>0</c:v>
                </c:pt>
                <c:pt idx="5">
                  <c:v>0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2B-4384-984E-16EFF4B2E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7054736"/>
        <c:axId val="1117052816"/>
      </c:barChart>
      <c:catAx>
        <c:axId val="111705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117052816"/>
        <c:crosses val="autoZero"/>
        <c:auto val="1"/>
        <c:lblAlgn val="ctr"/>
        <c:lblOffset val="100"/>
        <c:noMultiLvlLbl val="0"/>
      </c:catAx>
      <c:valAx>
        <c:axId val="11170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en-CA"/>
                  <a:t>kWh/yr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11705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'Totals Residential &amp; Mixed-Use'!$C$56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63D49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'Totals Residential &amp; Mixed-Use'!$E$55:$F$55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Residential &amp; Mixed-Use'!$E$56:$F$56</c:f>
              <c:numCache>
                <c:formatCode>_(* #,##0.00_);_(* \(#,##0.00\);_(* "-"??_);_(@_)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F-4D41-9A8E-5358F6CE172D}"/>
            </c:ext>
          </c:extLst>
        </c:ser>
        <c:ser>
          <c:idx val="1"/>
          <c:order val="1"/>
          <c:tx>
            <c:strRef>
              <c:f>'Totals Residential &amp; Mixed-Use'!$C$57</c:f>
              <c:strCache>
                <c:ptCount val="1"/>
                <c:pt idx="0">
                  <c:v>Communal</c:v>
                </c:pt>
              </c:strCache>
            </c:strRef>
          </c:tx>
          <c:spPr>
            <a:solidFill>
              <a:srgbClr val="23C1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'Totals Residential &amp; Mixed-Use'!$E$55:$F$55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Residential &amp; Mixed-Use'!$E$57:$F$57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F-4D41-9A8E-5358F6CE172D}"/>
            </c:ext>
          </c:extLst>
        </c:ser>
        <c:ser>
          <c:idx val="2"/>
          <c:order val="2"/>
          <c:tx>
            <c:strRef>
              <c:f>'Totals Residential &amp; Mixed-Use'!$C$58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0093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'Totals Residential &amp; Mixed-Use'!$E$55:$F$55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Residential &amp; Mixed-Use'!$E$58:$F$58</c:f>
              <c:numCache>
                <c:formatCode>_(* #,##0.00_);_(* \(#,##0.00\);_(* "-"??_);_(@_)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9F-4D41-9A8E-5358F6CE172D}"/>
            </c:ext>
          </c:extLst>
        </c:ser>
        <c:ser>
          <c:idx val="3"/>
          <c:order val="3"/>
          <c:tx>
            <c:strRef>
              <c:f>'Totals Residential &amp; Mixed-Use'!$C$59</c:f>
              <c:strCache>
                <c:ptCount val="1"/>
                <c:pt idx="0">
                  <c:v>Office</c:v>
                </c:pt>
              </c:strCache>
            </c:strRef>
          </c:tx>
          <c:spPr>
            <a:solidFill>
              <a:srgbClr val="007A37"/>
            </a:solidFill>
            <a:ln>
              <a:noFill/>
            </a:ln>
            <a:effectLst/>
          </c:spPr>
          <c:invertIfNegative val="0"/>
          <c:cat>
            <c:strRef>
              <c:f>'Totals Residential &amp; Mixed-Use'!$E$55:$F$55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Residential &amp; Mixed-Use'!$E$59:$F$59</c:f>
              <c:numCache>
                <c:formatCode>_(* #,##0.00_);_(* \(#,##0.00\);_(* "-"??_);_(@_)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9F-4D41-9A8E-5358F6CE172D}"/>
            </c:ext>
          </c:extLst>
        </c:ser>
        <c:ser>
          <c:idx val="4"/>
          <c:order val="4"/>
          <c:tx>
            <c:strRef>
              <c:f>'Totals Residential &amp; Mixed-Use'!$C$60</c:f>
              <c:strCache>
                <c:ptCount val="1"/>
                <c:pt idx="0">
                  <c:v>Carpark &amp; Services</c:v>
                </c:pt>
              </c:strCache>
            </c:strRef>
          </c:tx>
          <c:spPr>
            <a:solidFill>
              <a:srgbClr val="0961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'Totals Residential &amp; Mixed-Use'!$E$55:$F$55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Residential &amp; Mixed-Use'!$E$60:$F$60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9F-4D41-9A8E-5358F6CE172D}"/>
            </c:ext>
          </c:extLst>
        </c:ser>
        <c:ser>
          <c:idx val="5"/>
          <c:order val="5"/>
          <c:tx>
            <c:strRef>
              <c:f>'Totals Residential &amp; Mixed-Use'!$C$61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30FF8D"/>
            </a:solidFill>
            <a:ln>
              <a:noFill/>
            </a:ln>
            <a:effectLst/>
          </c:spPr>
          <c:invertIfNegative val="0"/>
          <c:cat>
            <c:strRef>
              <c:f>'Totals Residential &amp; Mixed-Use'!$E$55:$F$55</c:f>
              <c:strCache>
                <c:ptCount val="2"/>
                <c:pt idx="0">
                  <c:v>Min. BCA 2022 Compliance</c:v>
                </c:pt>
                <c:pt idx="1">
                  <c:v>0</c:v>
                </c:pt>
              </c:strCache>
            </c:strRef>
          </c:cat>
          <c:val>
            <c:numRef>
              <c:f>'Totals Residential &amp; Mixed-Use'!$E$61:$F$61</c:f>
              <c:numCache>
                <c:formatCode>_(* #,##0.00_);_(* \(#,##0.00\);_(*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9F-4D41-9A8E-5358F6CE1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115968352"/>
        <c:axId val="1115969312"/>
      </c:barChart>
      <c:catAx>
        <c:axId val="11159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115969312"/>
        <c:crosses val="autoZero"/>
        <c:auto val="1"/>
        <c:lblAlgn val="ctr"/>
        <c:lblOffset val="100"/>
        <c:noMultiLvlLbl val="0"/>
      </c:catAx>
      <c:valAx>
        <c:axId val="11159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en-CA"/>
                  <a:t>kWh/yr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1159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'Totals Residential &amp; Mixed-Use'!$W$8</c:f>
              <c:strCache>
                <c:ptCount val="1"/>
                <c:pt idx="0">
                  <c:v>Heating &amp; Cooling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'Totals Residential &amp; Mixed-Use'!$Y$7:$Z$7</c:f>
              <c:strCache>
                <c:ptCount val="2"/>
                <c:pt idx="0">
                  <c:v> Min. BCA 2022 Compliance </c:v>
                </c:pt>
                <c:pt idx="1">
                  <c:v> -   </c:v>
                </c:pt>
              </c:strCache>
            </c:strRef>
          </c:cat>
          <c:val>
            <c:numRef>
              <c:f>'Totals Residential &amp; Mixed-Use'!$Y$8:$Z$8</c:f>
              <c:numCache>
                <c:formatCode>_("$"* #,##0.00_);_("$"* \(#,##0.00\);_("$"* "-"??_);_(@_)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E-4FA4-8F7E-93125581BDF8}"/>
            </c:ext>
          </c:extLst>
        </c:ser>
        <c:ser>
          <c:idx val="1"/>
          <c:order val="1"/>
          <c:tx>
            <c:strRef>
              <c:f>'Totals Residential &amp; Mixed-Use'!$W$9</c:f>
              <c:strCache>
                <c:ptCount val="1"/>
                <c:pt idx="0">
                  <c:v>Appliances</c:v>
                </c:pt>
              </c:strCache>
            </c:strRef>
          </c:tx>
          <c:spPr>
            <a:solidFill>
              <a:srgbClr val="63D49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'Totals Residential &amp; Mixed-Use'!$Y$7:$Z$7</c:f>
              <c:strCache>
                <c:ptCount val="2"/>
                <c:pt idx="0">
                  <c:v> Min. BCA 2022 Compliance </c:v>
                </c:pt>
                <c:pt idx="1">
                  <c:v> -   </c:v>
                </c:pt>
              </c:strCache>
            </c:strRef>
          </c:cat>
          <c:val>
            <c:numRef>
              <c:f>'Totals Residential &amp; Mixed-Use'!$Y$9:$Z$9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E-4FA4-8F7E-93125581BDF8}"/>
            </c:ext>
          </c:extLst>
        </c:ser>
        <c:ser>
          <c:idx val="2"/>
          <c:order val="2"/>
          <c:tx>
            <c:strRef>
              <c:f>'Totals Residential &amp; Mixed-Use'!$W$10</c:f>
              <c:strCache>
                <c:ptCount val="1"/>
                <c:pt idx="0">
                  <c:v>Lighting</c:v>
                </c:pt>
              </c:strCache>
            </c:strRef>
          </c:tx>
          <c:spPr>
            <a:solidFill>
              <a:srgbClr val="23C1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'Totals Residential &amp; Mixed-Use'!$Y$7:$Z$7</c:f>
              <c:strCache>
                <c:ptCount val="2"/>
                <c:pt idx="0">
                  <c:v> Min. BCA 2022 Compliance </c:v>
                </c:pt>
                <c:pt idx="1">
                  <c:v> -   </c:v>
                </c:pt>
              </c:strCache>
            </c:strRef>
          </c:cat>
          <c:val>
            <c:numRef>
              <c:f>'Totals Residential &amp; Mixed-Use'!$Y$10:$Z$10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BE-4FA4-8F7E-93125581BDF8}"/>
            </c:ext>
          </c:extLst>
        </c:ser>
        <c:ser>
          <c:idx val="3"/>
          <c:order val="3"/>
          <c:tx>
            <c:strRef>
              <c:f>'Totals Residential &amp; Mixed-Use'!$W$11</c:f>
              <c:strCache>
                <c:ptCount val="1"/>
                <c:pt idx="0">
                  <c:v>Hot Water</c:v>
                </c:pt>
              </c:strCache>
            </c:strRef>
          </c:tx>
          <c:spPr>
            <a:solidFill>
              <a:srgbClr val="0093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'Totals Residential &amp; Mixed-Use'!$Y$7:$Z$7</c:f>
              <c:strCache>
                <c:ptCount val="2"/>
                <c:pt idx="0">
                  <c:v> Min. BCA 2022 Compliance </c:v>
                </c:pt>
                <c:pt idx="1">
                  <c:v> -   </c:v>
                </c:pt>
              </c:strCache>
            </c:strRef>
          </c:cat>
          <c:val>
            <c:numRef>
              <c:f>'Totals Residential &amp; Mixed-Use'!$Y$11:$Z$11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BE-4FA4-8F7E-93125581BDF8}"/>
            </c:ext>
          </c:extLst>
        </c:ser>
        <c:ser>
          <c:idx val="4"/>
          <c:order val="4"/>
          <c:tx>
            <c:strRef>
              <c:f>'Totals Residential &amp; Mixed-Use'!$W$12</c:f>
              <c:strCache>
                <c:ptCount val="1"/>
                <c:pt idx="0">
                  <c:v>Cooktops</c:v>
                </c:pt>
              </c:strCache>
            </c:strRef>
          </c:tx>
          <c:spPr>
            <a:solidFill>
              <a:srgbClr val="007A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'Totals Residential &amp; Mixed-Use'!$Y$7:$Z$7</c:f>
              <c:strCache>
                <c:ptCount val="2"/>
                <c:pt idx="0">
                  <c:v> Min. BCA 2022 Compliance </c:v>
                </c:pt>
                <c:pt idx="1">
                  <c:v> -   </c:v>
                </c:pt>
              </c:strCache>
            </c:strRef>
          </c:cat>
          <c:val>
            <c:numRef>
              <c:f>'Totals Residential &amp; Mixed-Use'!$Y$12:$Z$12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BE-4FA4-8F7E-93125581BDF8}"/>
            </c:ext>
          </c:extLst>
        </c:ser>
        <c:ser>
          <c:idx val="5"/>
          <c:order val="5"/>
          <c:tx>
            <c:strRef>
              <c:f>'Totals Residential &amp; Mixed-Use'!$W$13</c:f>
              <c:strCache>
                <c:ptCount val="1"/>
                <c:pt idx="0">
                  <c:v>Clothes Drying</c:v>
                </c:pt>
              </c:strCache>
            </c:strRef>
          </c:tx>
          <c:spPr>
            <a:solidFill>
              <a:srgbClr val="00602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'Totals Residential &amp; Mixed-Use'!$Y$7:$Z$7</c:f>
              <c:strCache>
                <c:ptCount val="2"/>
                <c:pt idx="0">
                  <c:v> Min. BCA 2022 Compliance </c:v>
                </c:pt>
                <c:pt idx="1">
                  <c:v> -   </c:v>
                </c:pt>
              </c:strCache>
            </c:strRef>
          </c:cat>
          <c:val>
            <c:numRef>
              <c:f>'Totals Residential &amp; Mixed-Use'!$Y$13:$Z$13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BE-4FA4-8F7E-93125581B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28937520"/>
        <c:axId val="128938000"/>
      </c:barChart>
      <c:catAx>
        <c:axId val="12893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28938000"/>
        <c:crosses val="autoZero"/>
        <c:auto val="1"/>
        <c:lblAlgn val="ctr"/>
        <c:lblOffset val="100"/>
        <c:noMultiLvlLbl val="0"/>
      </c:catAx>
      <c:valAx>
        <c:axId val="12893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en-CA"/>
                  <a:t>$/yr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2893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r>
              <a:rPr lang="en-CA"/>
              <a:t>Retail Energy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'Totals Residential &amp; Mixed-Use'!$E$7</c:f>
              <c:strCache>
                <c:ptCount val="1"/>
                <c:pt idx="0">
                  <c:v> Min. BCA 2022 Compliance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'Totals Residential &amp; Mixed-Use'!$C$27:$C$33</c:f>
              <c:strCache>
                <c:ptCount val="7"/>
                <c:pt idx="0">
                  <c:v>Heating &amp; Cooling (Elec)</c:v>
                </c:pt>
                <c:pt idx="1">
                  <c:v>Heating &amp; Cooling (Gas)</c:v>
                </c:pt>
                <c:pt idx="2">
                  <c:v>Fans</c:v>
                </c:pt>
                <c:pt idx="3">
                  <c:v>Lighting</c:v>
                </c:pt>
                <c:pt idx="4">
                  <c:v>Hot Water</c:v>
                </c:pt>
                <c:pt idx="5">
                  <c:v>Cooktops</c:v>
                </c:pt>
                <c:pt idx="6">
                  <c:v>Total</c:v>
                </c:pt>
              </c:strCache>
            </c:strRef>
          </c:cat>
          <c:val>
            <c:numRef>
              <c:f>'Totals Residential &amp; Mixed-Use'!$E$27:$E$33</c:f>
              <c:numCache>
                <c:formatCode>_(* #,##0.00_);_(* \(#,##0.00\);_(* "-"??_);_(@_)</c:formatCode>
                <c:ptCount val="7"/>
                <c:pt idx="0">
                  <c:v>#N/A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17519.887872000003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10E-AA1E-7C2AE43D28D0}"/>
            </c:ext>
          </c:extLst>
        </c:ser>
        <c:ser>
          <c:idx val="1"/>
          <c:order val="1"/>
          <c:tx>
            <c:strRef>
              <c:f>'Totals Residential &amp; Mixed-Use'!$F$7</c:f>
              <c:strCache>
                <c:ptCount val="1"/>
                <c:pt idx="0">
                  <c:v> -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'Totals Residential &amp; Mixed-Use'!$C$27:$C$33</c:f>
              <c:strCache>
                <c:ptCount val="7"/>
                <c:pt idx="0">
                  <c:v>Heating &amp; Cooling (Elec)</c:v>
                </c:pt>
                <c:pt idx="1">
                  <c:v>Heating &amp; Cooling (Gas)</c:v>
                </c:pt>
                <c:pt idx="2">
                  <c:v>Fans</c:v>
                </c:pt>
                <c:pt idx="3">
                  <c:v>Lighting</c:v>
                </c:pt>
                <c:pt idx="4">
                  <c:v>Hot Water</c:v>
                </c:pt>
                <c:pt idx="5">
                  <c:v>Cooktops</c:v>
                </c:pt>
                <c:pt idx="6">
                  <c:v>Total</c:v>
                </c:pt>
              </c:strCache>
            </c:strRef>
          </c:cat>
          <c:val>
            <c:numRef>
              <c:f>'Totals Residential &amp; Mixed-Use'!$F$27:$F$33</c:f>
              <c:numCache>
                <c:formatCode>_-* #,##0.0000000_-;\-* #,##0.0000000_-;_-* "-"???????_-;_-@_-</c:formatCode>
                <c:ptCount val="7"/>
                <c:pt idx="0" formatCode="_(* #,##0.00_);_(* \(#,##0.00\);_(* &quot;-&quot;??_);_(@_)">
                  <c:v>#N/A</c:v>
                </c:pt>
                <c:pt idx="1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#N/A</c:v>
                </c:pt>
                <c:pt idx="6" formatCode="_(* #,##0.00_);_(* \(#,##0.00\);_(* &quot;-&quot;??_);_(@_)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B-410E-AA1E-7C2AE43D2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9099024"/>
        <c:axId val="189100464"/>
      </c:barChart>
      <c:catAx>
        <c:axId val="18909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100464"/>
        <c:crosses val="autoZero"/>
        <c:auto val="1"/>
        <c:lblAlgn val="ctr"/>
        <c:lblOffset val="100"/>
        <c:noMultiLvlLbl val="0"/>
      </c:catAx>
      <c:valAx>
        <c:axId val="18910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09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'Totals Residential &amp; Mixed-Use'!$H$56</c:f>
              <c:strCache>
                <c:ptCount val="1"/>
                <c:pt idx="0">
                  <c:v> Residential </c:v>
                </c:pt>
              </c:strCache>
            </c:strRef>
          </c:tx>
          <c:spPr>
            <a:solidFill>
              <a:srgbClr val="63D49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('Totals Residential &amp; Mixed-Use'!$J$55:$K$55,'Totals Residential &amp; Mixed-Use'!$P$55)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With Green Power</c:v>
                </c:pt>
              </c:strCache>
            </c:strRef>
          </c:cat>
          <c:val>
            <c:numRef>
              <c:f>('Totals Residential &amp; Mixed-Use'!$J$56:$K$56,'Totals Residential &amp; Mixed-Use'!$P$56)</c:f>
              <c:numCache>
                <c:formatCode>_(* #,##0.00_);_(* \(#,##0.00\);_(* "-"??_);_(@_)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F-4D41-9A8E-5358F6CE172D}"/>
            </c:ext>
          </c:extLst>
        </c:ser>
        <c:ser>
          <c:idx val="1"/>
          <c:order val="1"/>
          <c:tx>
            <c:strRef>
              <c:f>'Totals Residential &amp; Mixed-Use'!$H$57</c:f>
              <c:strCache>
                <c:ptCount val="1"/>
                <c:pt idx="0">
                  <c:v> Communal </c:v>
                </c:pt>
              </c:strCache>
            </c:strRef>
          </c:tx>
          <c:spPr>
            <a:solidFill>
              <a:srgbClr val="23C1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('Totals Residential &amp; Mixed-Use'!$J$55:$K$55,'Totals Residential &amp; Mixed-Use'!$P$55)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With Green Power</c:v>
                </c:pt>
              </c:strCache>
            </c:strRef>
          </c:cat>
          <c:val>
            <c:numRef>
              <c:f>('Totals Residential &amp; Mixed-Use'!$J$57:$K$57,'Totals Residential &amp; Mixed-Use'!$P$57)</c:f>
              <c:numCache>
                <c:formatCode>_(* #,##0.00_);_(* \(#,##0.00\);_(* "-"??_);_(@_)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F-4D41-9A8E-5358F6CE172D}"/>
            </c:ext>
          </c:extLst>
        </c:ser>
        <c:ser>
          <c:idx val="2"/>
          <c:order val="2"/>
          <c:tx>
            <c:strRef>
              <c:f>'Totals Residential &amp; Mixed-Use'!$H$58</c:f>
              <c:strCache>
                <c:ptCount val="1"/>
                <c:pt idx="0">
                  <c:v> Retail </c:v>
                </c:pt>
              </c:strCache>
            </c:strRef>
          </c:tx>
          <c:spPr>
            <a:solidFill>
              <a:srgbClr val="009342"/>
            </a:solidFill>
            <a:ln>
              <a:noFill/>
            </a:ln>
            <a:effectLst/>
          </c:spPr>
          <c:invertIfNegative val="0"/>
          <c:cat>
            <c:strRef>
              <c:f>('Totals Residential &amp; Mixed-Use'!$J$55:$K$55,'Totals Residential &amp; Mixed-Use'!$P$55)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With Green Power</c:v>
                </c:pt>
              </c:strCache>
            </c:strRef>
          </c:cat>
          <c:val>
            <c:numRef>
              <c:f>('Totals Residential &amp; Mixed-Use'!$J$58:$K$58,'Totals Residential &amp; Mixed-Use'!$P$58)</c:f>
              <c:numCache>
                <c:formatCode>_(* #,##0.00_);_(* \(#,##0.00\);_(* "-"??_);_(@_)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9F-4D41-9A8E-5358F6CE172D}"/>
            </c:ext>
          </c:extLst>
        </c:ser>
        <c:ser>
          <c:idx val="3"/>
          <c:order val="3"/>
          <c:tx>
            <c:strRef>
              <c:f>'Totals Residential &amp; Mixed-Use'!$H$59</c:f>
              <c:strCache>
                <c:ptCount val="1"/>
                <c:pt idx="0">
                  <c:v> Office </c:v>
                </c:pt>
              </c:strCache>
            </c:strRef>
          </c:tx>
          <c:spPr>
            <a:solidFill>
              <a:srgbClr val="007A37"/>
            </a:solidFill>
            <a:ln>
              <a:noFill/>
            </a:ln>
            <a:effectLst/>
          </c:spPr>
          <c:invertIfNegative val="0"/>
          <c:cat>
            <c:strRef>
              <c:f>('Totals Residential &amp; Mixed-Use'!$J$55:$K$55,'Totals Residential &amp; Mixed-Use'!$P$55)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With Green Power</c:v>
                </c:pt>
              </c:strCache>
            </c:strRef>
          </c:cat>
          <c:val>
            <c:numRef>
              <c:f>('Totals Residential &amp; Mixed-Use'!$J$59:$K$59,'Totals Residential &amp; Mixed-Use'!$P$59)</c:f>
              <c:numCache>
                <c:formatCode>_(* #,##0.00_);_(* \(#,##0.00\);_(* "-"??_);_(@_)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9F-4D41-9A8E-5358F6CE172D}"/>
            </c:ext>
          </c:extLst>
        </c:ser>
        <c:ser>
          <c:idx val="4"/>
          <c:order val="4"/>
          <c:tx>
            <c:strRef>
              <c:f>'Totals Residential &amp; Mixed-Use'!$H$60</c:f>
              <c:strCache>
                <c:ptCount val="1"/>
                <c:pt idx="0">
                  <c:v> Carpark &amp; Services </c:v>
                </c:pt>
              </c:strCache>
            </c:strRef>
          </c:tx>
          <c:spPr>
            <a:solidFill>
              <a:srgbClr val="096128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EA-4D30-B1F9-37C98DA05655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EA-4D30-B1F9-37C98DA05655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EA-4D30-B1F9-37C98DA056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('Totals Residential &amp; Mixed-Use'!$J$55:$K$55,'Totals Residential &amp; Mixed-Use'!$P$55)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With Green Power</c:v>
                </c:pt>
              </c:strCache>
            </c:strRef>
          </c:cat>
          <c:val>
            <c:numRef>
              <c:f>('Totals Residential &amp; Mixed-Use'!$J$60:$K$60,'Totals Residential &amp; Mixed-Use'!$P$60)</c:f>
              <c:numCache>
                <c:formatCode>_(* #,##0.00_);_(* \(#,##0.00\);_(*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9F-4D41-9A8E-5358F6CE172D}"/>
            </c:ext>
          </c:extLst>
        </c:ser>
        <c:ser>
          <c:idx val="5"/>
          <c:order val="5"/>
          <c:tx>
            <c:strRef>
              <c:f>'Totals Residential &amp; Mixed-Use'!$H$61</c:f>
              <c:strCache>
                <c:ptCount val="1"/>
                <c:pt idx="0">
                  <c:v> Solar </c:v>
                </c:pt>
              </c:strCache>
            </c:strRef>
          </c:tx>
          <c:spPr>
            <a:solidFill>
              <a:srgbClr val="30FF8D"/>
            </a:solidFill>
            <a:ln>
              <a:noFill/>
            </a:ln>
            <a:effectLst/>
          </c:spPr>
          <c:invertIfNegative val="0"/>
          <c:cat>
            <c:strRef>
              <c:f>('Totals Residential &amp; Mixed-Use'!$J$55:$K$55,'Totals Residential &amp; Mixed-Use'!$P$55)</c:f>
              <c:strCache>
                <c:ptCount val="3"/>
                <c:pt idx="0">
                  <c:v>Min. BCA 2022 Compliance</c:v>
                </c:pt>
                <c:pt idx="1">
                  <c:v>0</c:v>
                </c:pt>
                <c:pt idx="2">
                  <c:v>With Green Power</c:v>
                </c:pt>
              </c:strCache>
            </c:strRef>
          </c:cat>
          <c:val>
            <c:numRef>
              <c:f>('Totals Residential &amp; Mixed-Use'!$J$61:$K$61,'Totals Residential &amp; Mixed-Use'!$P$61)</c:f>
              <c:numCache>
                <c:formatCode>_(* #,##0.00_);_(* \(#,##0.00\);_(*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9F-4D41-9A8E-5358F6CE1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115968352"/>
        <c:axId val="1115969312"/>
      </c:barChart>
      <c:catAx>
        <c:axId val="11159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115969312"/>
        <c:crosses val="autoZero"/>
        <c:auto val="1"/>
        <c:lblAlgn val="ctr"/>
        <c:lblOffset val="100"/>
        <c:noMultiLvlLbl val="0"/>
      </c:catAx>
      <c:valAx>
        <c:axId val="11159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r>
                  <a:rPr lang="en-AU"/>
                  <a:t>tCO2eq/yr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11596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r>
              <a:rPr lang="en-CA"/>
              <a:t>Office Energy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'Totals Residential &amp; Mixed-Use'!$J$36</c:f>
              <c:strCache>
                <c:ptCount val="1"/>
                <c:pt idx="0">
                  <c:v>Min. BCA 2022 Compliance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'Totals Residential &amp; Mixed-Use'!$C$37:$C$42</c:f>
              <c:strCache>
                <c:ptCount val="6"/>
                <c:pt idx="0">
                  <c:v>Heating &amp; Cooling (Elec)</c:v>
                </c:pt>
                <c:pt idx="1">
                  <c:v>Heating &amp; Cooling (Gas)</c:v>
                </c:pt>
                <c:pt idx="2">
                  <c:v>Fans</c:v>
                </c:pt>
                <c:pt idx="3">
                  <c:v>Appliances</c:v>
                </c:pt>
                <c:pt idx="4">
                  <c:v>Lighting</c:v>
                </c:pt>
                <c:pt idx="5">
                  <c:v>Hot Water</c:v>
                </c:pt>
              </c:strCache>
            </c:strRef>
          </c:cat>
          <c:val>
            <c:numRef>
              <c:f>'Totals Residential &amp; Mixed-Use'!$E$37:$E$42</c:f>
              <c:numCache>
                <c:formatCode>_(* #,##0.00_);_(* \(#,##0.00\);_(* "-"??_);_(@_)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B-4039-AB37-E7477B72EE60}"/>
            </c:ext>
          </c:extLst>
        </c:ser>
        <c:ser>
          <c:idx val="1"/>
          <c:order val="1"/>
          <c:tx>
            <c:strRef>
              <c:f>'Totals Residential &amp; Mixed-Use'!$F$36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'Totals Residential &amp; Mixed-Use'!$C$37:$C$42</c:f>
              <c:strCache>
                <c:ptCount val="6"/>
                <c:pt idx="0">
                  <c:v>Heating &amp; Cooling (Elec)</c:v>
                </c:pt>
                <c:pt idx="1">
                  <c:v>Heating &amp; Cooling (Gas)</c:v>
                </c:pt>
                <c:pt idx="2">
                  <c:v>Fans</c:v>
                </c:pt>
                <c:pt idx="3">
                  <c:v>Appliances</c:v>
                </c:pt>
                <c:pt idx="4">
                  <c:v>Lighting</c:v>
                </c:pt>
                <c:pt idx="5">
                  <c:v>Hot Water</c:v>
                </c:pt>
              </c:strCache>
            </c:strRef>
          </c:cat>
          <c:val>
            <c:numRef>
              <c:f>'Totals Residential &amp; Mixed-Use'!$F$37:$F$42</c:f>
              <c:numCache>
                <c:formatCode>_(* #,##0.00_);_(* \(#,##0.00\);_(* "-"??_);_(@_)</c:formatCode>
                <c:ptCount val="6"/>
                <c:pt idx="0">
                  <c:v>#N/A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B-4039-AB37-E7477B72E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106288"/>
        <c:axId val="1890108208"/>
      </c:barChart>
      <c:catAx>
        <c:axId val="189010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0108208"/>
        <c:crosses val="autoZero"/>
        <c:auto val="1"/>
        <c:lblAlgn val="ctr"/>
        <c:lblOffset val="100"/>
        <c:noMultiLvlLbl val="0"/>
      </c:catAx>
      <c:valAx>
        <c:axId val="18901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/>
          </a:p>
        </c:txPr>
        <c:crossAx val="189010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 Light" panose="02000000000000000000" pitchFamily="2" charset="0"/>
          <a:ea typeface="Roboto Light" panose="02000000000000000000" pitchFamily="2" charset="0"/>
          <a:cs typeface="Roboto Light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68A0AEED-C796-4DA9-B605-684DA5ECEBED}">
          <cx:dataPt idx="0">
            <cx:spPr>
              <a:solidFill>
                <a:srgbClr val="00602B"/>
              </a:solidFill>
            </cx:spPr>
          </cx:dataPt>
          <cx:dataPt idx="1">
            <cx:spPr>
              <a:solidFill>
                <a:srgbClr val="007A37"/>
              </a:solidFill>
            </cx:spPr>
          </cx:dataPt>
          <cx:dataPt idx="2">
            <cx:spPr>
              <a:solidFill>
                <a:srgbClr val="00C859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000" b="0" i="0" u="none" strike="noStrike" kern="1200" baseline="0">
                    <a:solidFill>
                      <a:srgbClr val="828282"/>
                    </a:solidFill>
                    <a:latin typeface="Roboto Light" panose="02000000000000000000" pitchFamily="2" charset="0"/>
                    <a:ea typeface="Roboto Light" panose="02000000000000000000" pitchFamily="2" charset="0"/>
                    <a:cs typeface="Roboto Light" panose="02000000000000000000" pitchFamily="2" charset="0"/>
                  </a:defRPr>
                </a:pPr>
                <a:endParaRPr lang="en-US" sz="1000" b="0" i="0" u="none" strike="noStrike" kern="1200" baseline="0">
                  <a:solidFill>
                    <a:srgbClr val="828282"/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endParaRPr>
              </a:p>
            </cx:txPr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n-US" sz="1000" b="0" i="0" u="none" strike="noStrike" kern="1200" baseline="0">
                <a:solidFill>
                  <a:srgbClr val="828282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 sz="1000" b="0" i="0" u="none" strike="noStrike" kern="1200" baseline="0">
              <a:solidFill>
                <a:srgbClr val="828282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endParaRPr>
          </a:p>
        </cx:txPr>
      </cx:axis>
      <cx:axis id="1">
        <cx:valScaling/>
        <cx:title>
          <cx:tx>
            <cx:txData>
              <cx:v>kL/yr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lang="en-US" sz="1000" b="0" i="0" u="none" strike="noStrike" kern="1200" baseline="0">
                  <a:solidFill>
                    <a:srgbClr val="828282"/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defRPr>
              </a:pPr>
              <a:r>
                <a:rPr lang="en-US" sz="1000" b="0" i="0" u="none" strike="noStrike" kern="1200" baseline="0">
                  <a:solidFill>
                    <a:srgbClr val="828282"/>
                  </a:solidFill>
                  <a:latin typeface="Roboto Light" panose="02000000000000000000" pitchFamily="2" charset="0"/>
                  <a:ea typeface="Roboto Light" panose="02000000000000000000" pitchFamily="2" charset="0"/>
                  <a:cs typeface="Roboto Light" panose="02000000000000000000" pitchFamily="2" charset="0"/>
                </a:rPr>
                <a:t>kL/yr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0" i="0" u="none" strike="noStrike" kern="1200" baseline="0">
                <a:solidFill>
                  <a:srgbClr val="828282"/>
                </a:solidFill>
                <a:latin typeface="Roboto Light" panose="02000000000000000000" pitchFamily="2" charset="0"/>
                <a:ea typeface="Roboto Light" panose="02000000000000000000" pitchFamily="2" charset="0"/>
                <a:cs typeface="Roboto Light" panose="02000000000000000000" pitchFamily="2" charset="0"/>
              </a:defRPr>
            </a:pPr>
            <a:endParaRPr lang="en-US" sz="1000" b="0" i="0" u="none" strike="noStrike" kern="1200" baseline="0">
              <a:solidFill>
                <a:srgbClr val="828282"/>
              </a:solidFill>
              <a:latin typeface="Roboto Light" panose="02000000000000000000" pitchFamily="2" charset="0"/>
              <a:ea typeface="Roboto Light" panose="02000000000000000000" pitchFamily="2" charset="0"/>
              <a:cs typeface="Roboto Light" panose="02000000000000000000" pitchFamily="2" charset="0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microsoft.com/office/2014/relationships/chartEx" Target="../charts/chartEx1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91109</xdr:colOff>
      <xdr:row>1</xdr:row>
      <xdr:rowOff>190990</xdr:rowOff>
    </xdr:from>
    <xdr:to>
      <xdr:col>20</xdr:col>
      <xdr:colOff>73301</xdr:colOff>
      <xdr:row>8</xdr:row>
      <xdr:rowOff>96370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14198-A8D6-41E9-A2D1-774E72F15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25</xdr:col>
      <xdr:colOff>131580</xdr:colOff>
      <xdr:row>1</xdr:row>
      <xdr:rowOff>100851</xdr:rowOff>
    </xdr:from>
    <xdr:to>
      <xdr:col>40</xdr:col>
      <xdr:colOff>216516</xdr:colOff>
      <xdr:row>25</xdr:row>
      <xdr:rowOff>90615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ED340EB-74B9-47F1-B99C-1CCE21956379}"/>
            </a:ext>
          </a:extLst>
        </xdr:cNvPr>
        <xdr:cNvSpPr/>
      </xdr:nvSpPr>
      <xdr:spPr>
        <a:xfrm>
          <a:off x="8866005" y="443751"/>
          <a:ext cx="6428586" cy="79526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absolute">
    <xdr:from>
      <xdr:col>3</xdr:col>
      <xdr:colOff>1442</xdr:colOff>
      <xdr:row>9</xdr:row>
      <xdr:rowOff>212628</xdr:rowOff>
    </xdr:from>
    <xdr:to>
      <xdr:col>20</xdr:col>
      <xdr:colOff>188337</xdr:colOff>
      <xdr:row>16</xdr:row>
      <xdr:rowOff>194422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3C59B3-6A38-49DA-9B2B-5DF36DD9C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81089</xdr:colOff>
      <xdr:row>17</xdr:row>
      <xdr:rowOff>131456</xdr:rowOff>
    </xdr:from>
    <xdr:to>
      <xdr:col>21</xdr:col>
      <xdr:colOff>95265</xdr:colOff>
      <xdr:row>21</xdr:row>
      <xdr:rowOff>80682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F602F73-7A62-4A7C-9016-0011E2717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38100</xdr:rowOff>
    </xdr:from>
    <xdr:to>
      <xdr:col>9</xdr:col>
      <xdr:colOff>304800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AE992-539E-4F2E-9F00-8AA1F1BCE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549592</xdr:colOff>
      <xdr:row>19</xdr:row>
      <xdr:rowOff>50482</xdr:rowOff>
    </xdr:from>
    <xdr:to>
      <xdr:col>17</xdr:col>
      <xdr:colOff>244792</xdr:colOff>
      <xdr:row>34</xdr:row>
      <xdr:rowOff>77152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5475CD-666E-5C7B-9531-440ABC0DE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50482</xdr:colOff>
      <xdr:row>19</xdr:row>
      <xdr:rowOff>50482</xdr:rowOff>
    </xdr:from>
    <xdr:to>
      <xdr:col>9</xdr:col>
      <xdr:colOff>355282</xdr:colOff>
      <xdr:row>34</xdr:row>
      <xdr:rowOff>79057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68E7B3-14BE-FD30-2B82-0C7966A90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488632</xdr:colOff>
      <xdr:row>1</xdr:row>
      <xdr:rowOff>88582</xdr:rowOff>
    </xdr:from>
    <xdr:to>
      <xdr:col>17</xdr:col>
      <xdr:colOff>183832</xdr:colOff>
      <xdr:row>16</xdr:row>
      <xdr:rowOff>124777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FFDFD4-AF28-C1E3-FC92-A083F0D64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392430</xdr:colOff>
      <xdr:row>19</xdr:row>
      <xdr:rowOff>43815</xdr:rowOff>
    </xdr:from>
    <xdr:to>
      <xdr:col>25</xdr:col>
      <xdr:colOff>95250</xdr:colOff>
      <xdr:row>34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57F4B5-A2D0-4644-9F43-185267558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466725</xdr:colOff>
      <xdr:row>1</xdr:row>
      <xdr:rowOff>66675</xdr:rowOff>
    </xdr:from>
    <xdr:to>
      <xdr:col>25</xdr:col>
      <xdr:colOff>161925</xdr:colOff>
      <xdr:row>16</xdr:row>
      <xdr:rowOff>102870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FCA5D1-541D-45B1-B199-6517A9E88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590549</xdr:colOff>
      <xdr:row>36</xdr:row>
      <xdr:rowOff>0</xdr:rowOff>
    </xdr:from>
    <xdr:to>
      <xdr:col>11</xdr:col>
      <xdr:colOff>104774</xdr:colOff>
      <xdr:row>51</xdr:row>
      <xdr:rowOff>40005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6280158-FF31-4838-8BC3-C5F15EE75F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3959" y="6515100"/>
              <a:ext cx="5604510" cy="2754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raj Patel" id="{303B5947-46B9-477C-A57F-A1F3E7AE1566}" userId="Niraj Patel" providerId="None"/>
  <person displayName="Ines Buskermolen" id="{915E3898-9642-428F-907C-3716C066B3DE}" userId="3f683da2cad9c697" providerId="Windows Live"/>
  <person displayName="Aminath Samaha" id="{526D79DE-F728-4594-9F2D-4A52C9E8B2F4}" userId="690f480d03c2fdc4" providerId="Windows Live"/>
  <person displayName="Ines Buskermolen" id="{9CC845E5-7EE9-4CFC-A71A-EE039BF6EBE7}" userId="S::ines@giw.com.au::c85acdad-be85-455a-a588-3a6909065f6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6E48BB-C0DD-44B1-A304-2CF06BF63ECF}" name="Table8" displayName="Table8" ref="B4:C8" totalsRowShown="0">
  <autoFilter ref="B4:C8" xr:uid="{C66E48BB-C0DD-44B1-A304-2CF06BF63ECF}"/>
  <tableColumns count="2">
    <tableColumn id="1" xr3:uid="{85676684-753B-4D04-8782-909BFB86F2B6}" name="Type of HVAC system (resi)"/>
    <tableColumn id="2" xr3:uid="{4546622E-78EF-407D-8EE7-FCA4FCE61E7E}" name="Standard COP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1F333D-E907-4263-B11B-1AD66F75486D}" name="Table9" displayName="Table9" ref="B11:C14" totalsRowShown="0">
  <autoFilter ref="B11:C14" xr:uid="{EB1F333D-E907-4263-B11B-1AD66F75486D}"/>
  <tableColumns count="2">
    <tableColumn id="1" xr3:uid="{B09154E1-3681-4757-81E3-E5844062C72D}" name="Hot water system"/>
    <tableColumn id="2" xr3:uid="{FB7472AB-16BC-4FAC-B207-C6A7BD08A83C}" name="Standard COP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D08729-6F98-48DA-87E3-9C09CF813F18}" name="Table10" displayName="Table10" ref="B16:E20" totalsRowShown="0">
  <autoFilter ref="B16:E20" xr:uid="{9AD08729-6F98-48DA-87E3-9C09CF813F18}"/>
  <tableColumns count="4">
    <tableColumn id="1" xr3:uid="{A4780B82-ED7B-4015-9333-01122AAA6C1A}" name="Cooktops"/>
    <tableColumn id="2" xr3:uid="{60C85234-2492-455A-8AEB-7B37FEA7EE7B}" name="Standard Energy use"/>
    <tableColumn id="4" xr3:uid="{7D9BB344-D3F9-432F-97DB-DE89D89E9C64}" name="Commercial Kitchen"/>
    <tableColumn id="3" xr3:uid="{D9227AE7-E3F1-46CE-8554-07219AB4818B}" name="Column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95BB36F-1EC9-434A-B2EE-93B6F4432223}" name="Table11" displayName="Table11" ref="I4:M7" totalsRowShown="0">
  <autoFilter ref="I4:M7" xr:uid="{B95BB36F-1EC9-434A-B2EE-93B6F4432223}"/>
  <tableColumns count="5">
    <tableColumn id="1" xr3:uid="{3AAE7333-C52C-4511-AD19-481C50CB9C84}" name="FR Climate Zone"/>
    <tableColumn id="5" xr3:uid="{E3A7DF59-F187-41C4-A864-CCE713F1F346}" name="3"/>
    <tableColumn id="4" xr3:uid="{BA0A65F3-F6C4-47AC-B242-42A117B69CA9}" name="7"/>
    <tableColumn id="2" xr3:uid="{EF87A453-276E-4D65-AB00-4DB1EF6BF43B}" name="7.5"/>
    <tableColumn id="3" xr3:uid="{2EF8B2C9-A158-4A2A-B363-7675BDE2E4C5}" name="8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EF2678-E649-4524-80C9-C24CA68293E6}" name="Table12" displayName="Table12" ref="I9:L11" totalsRowShown="0">
  <autoFilter ref="I9:L11" xr:uid="{9EEF2678-E649-4524-80C9-C24CA68293E6}"/>
  <tableColumns count="4">
    <tableColumn id="1" xr3:uid="{8E7E1F91-750A-4405-B5CB-DBB6086D5B50}" name="Climate Zone"/>
    <tableColumn id="2" xr3:uid="{94073362-0511-4A31-8BBC-0A0B99DA45C7}" name="Retail"/>
    <tableColumn id="3" xr3:uid="{81BB3A6D-46E2-48D0-9DCC-F8EB763C0265}" name="Office"/>
    <tableColumn id="4" xr3:uid="{D8C38D33-734B-4116-8496-1EF48967E849}" name="Communal Areas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96A8A-AE0E-4D97-924D-B4ED8253D588}" name="Table13" displayName="Table13" ref="B22:C24" totalsRowShown="0">
  <autoFilter ref="B22:C24" xr:uid="{BA696A8A-AE0E-4D97-924D-B4ED8253D588}"/>
  <tableColumns count="2">
    <tableColumn id="1" xr3:uid="{668F4794-1308-40EF-945D-0640B285B772}" name="Type of HVAC system retail" dataDxfId="1"/>
    <tableColumn id="2" xr3:uid="{A667B473-3617-4932-B2F2-8AE79BFDB412}" name="COP" dataDxfId="0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1E222-662A-40CD-A2CB-905DAA35017A}" name="Table1" displayName="Table1" ref="I14:I16" totalsRowShown="0">
  <autoFilter ref="I14:I16" xr:uid="{6B91E222-662A-40CD-A2CB-905DAA35017A}"/>
  <tableColumns count="1">
    <tableColumn id="1" xr3:uid="{733E6160-AC12-4FDE-B5AA-F397555FF0DD}" name="Carbon Neutral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IW Visualisation">
      <a:dk1>
        <a:srgbClr val="3F3F3F"/>
      </a:dk1>
      <a:lt1>
        <a:sysClr val="window" lastClr="FFFFFF"/>
      </a:lt1>
      <a:dk2>
        <a:srgbClr val="3F3F3F"/>
      </a:dk2>
      <a:lt2>
        <a:srgbClr val="FFFFFF"/>
      </a:lt2>
      <a:accent1>
        <a:srgbClr val="00893E"/>
      </a:accent1>
      <a:accent2>
        <a:srgbClr val="7DC6A0"/>
      </a:accent2>
      <a:accent3>
        <a:srgbClr val="30FF8D"/>
      </a:accent3>
      <a:accent4>
        <a:srgbClr val="00602B"/>
      </a:accent4>
      <a:accent5>
        <a:srgbClr val="215E99"/>
      </a:accent5>
      <a:accent6>
        <a:srgbClr val="E97132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GIW Visualisation">
    <a:dk1>
      <a:srgbClr val="3F3F3F"/>
    </a:dk1>
    <a:lt1>
      <a:sysClr val="window" lastClr="FFFFFF"/>
    </a:lt1>
    <a:dk2>
      <a:srgbClr val="3F3F3F"/>
    </a:dk2>
    <a:lt2>
      <a:srgbClr val="FFFFFF"/>
    </a:lt2>
    <a:accent1>
      <a:srgbClr val="00893E"/>
    </a:accent1>
    <a:accent2>
      <a:srgbClr val="7DC6A0"/>
    </a:accent2>
    <a:accent3>
      <a:srgbClr val="30FF8D"/>
    </a:accent3>
    <a:accent4>
      <a:srgbClr val="00602B"/>
    </a:accent4>
    <a:accent5>
      <a:srgbClr val="215E99"/>
    </a:accent5>
    <a:accent6>
      <a:srgbClr val="E97132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0" dT="2025-06-11T00:42:06.64" personId="{915E3898-9642-428F-907C-3716C066B3DE}" id="{E9887A05-947E-48F4-809F-F3E5FFBC1260}">
    <text>Update if proposed development deviates from average 2.5 occupants per apartment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06-11T00:47:06.28" personId="{915E3898-9642-428F-907C-3716C066B3DE}" id="{6DD82572-0B29-445F-AA6E-A4B36DF97601}">
    <text>If previous version of BCA is applied, this may vary.</text>
  </threadedComment>
  <threadedComment ref="G4" dT="2025-06-11T00:47:06.28" personId="{915E3898-9642-428F-907C-3716C066B3DE}" id="{87087AB7-D4FF-4468-8BEE-C1F4FED04D5F}">
    <text>If previous version of BCA is applied, this may vary.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0" dT="2025-06-13T01:28:12.95" personId="{9CC845E5-7EE9-4CFC-A71A-EE039BF6EBE7}" id="{A4DE12C2-03FB-4E40-A569-6952ED4CAD5B}">
    <text>Based on handbook for estimating NABERS ratings A5.6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20" dT="2025-06-13T02:34:09.99" personId="{303B5947-46B9-477C-A57F-A1F3E7AE1566}" id="{305C9E89-91DC-423C-98C5-19F40815B9AC}">
    <text>Per Green Star Multi-Unit Residential v1 GHG Guide Methodology - Lifts Benchmark pg 71
Y:\GIW\7_Resources\Green Star &amp; ABGR\Green Star Rating Tools\GS - Multi Res\Guides\GHG Emissions Guide_01072009.pdf
Assumptions per Table 30:
Speed - 1.0m/s
Ave power - 10kW
Standby Power - 70W</text>
    <extLst>
      <x:ext xmlns:xltc2="http://schemas.microsoft.com/office/spreadsheetml/2020/threadedcomments2" uri="{F7C98A9C-CBB3-438F-8F68-D28B6AF4A901}">
        <xltc2:checksum>4124991916</xltc2:checksum>
        <xltc2:hyperlink startIndex="88" length="24" url="Y:\GIW\7_Resources\Green"/>
      </x:ext>
    </extLst>
  </threadedComment>
  <threadedComment ref="G20" dT="2025-06-13T02:34:09.99" personId="{303B5947-46B9-477C-A57F-A1F3E7AE1566}" id="{1B4AB438-7538-4AE2-ACEE-16512F3F34C0}">
    <text>Per Green Star Multi-Unit Residential v1 GHG Guide Methodology - Lifts Benchmark pg 71
Y:\GIW\7_Resources\Green Star &amp; ABGR\Green Star Rating Tools\GS - Multi Res\Guides\GHG Emissions Guide_01072009.pdf
Assumptions per Table 30:
Speed - 1.0m/s
Ave power - 10kW
Standby Power - 70W</text>
    <extLst>
      <x:ext xmlns:xltc2="http://schemas.microsoft.com/office/spreadsheetml/2020/threadedcomments2" uri="{F7C98A9C-CBB3-438F-8F68-D28B6AF4A901}">
        <xltc2:checksum>4124991916</xltc2:checksum>
        <xltc2:hyperlink startIndex="88" length="24" url="Y:\GIW\7_Resources\Green"/>
      </x:ext>
    </extLs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4" dT="2025-06-13T02:18:37.04" personId="{303B5947-46B9-477C-A57F-A1F3E7AE1566}" id="{5095CFE6-0292-492E-A13A-066954B0BA0F}">
    <text>Per Green Star Multi-Unit Residential v1 GHG Guide Methodology Section 3.5 pg 29
Y:\GIW\7_Resources\Green Star &amp; ABGR\Green Star Rating Tools\GS - Multi Res\Guides\GHG Emissions Guide_01072009.pdf</text>
    <extLst>
      <x:ext xmlns:xltc2="http://schemas.microsoft.com/office/spreadsheetml/2020/threadedcomments2" uri="{F7C98A9C-CBB3-438F-8F68-D28B6AF4A901}">
        <xltc2:checksum>2177200235</xltc2:checksum>
        <xltc2:hyperlink startIndex="82" length="24" url="Y:\GIW\7_Resources\Green"/>
      </x:ext>
    </extLst>
  </threadedComment>
  <threadedComment ref="C8" dT="2025-06-13T02:13:58.21" personId="{303B5947-46B9-477C-A57F-A1F3E7AE1566}" id="{677D05E5-4DC6-40AD-8002-9CDDAA20F892}">
    <text>Per GBCA Energy Use Calc Guide Appendix  Table 55 Carpark and Loading Dock operational profiles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P55" dT="2025-11-16T20:04:32.48" personId="{526D79DE-F728-4594-9F2D-4A52C9E8B2F4}" id="{2BE5DA8E-1A18-404E-82C7-D436412CA4AD}">
    <text>Need something here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ED13-65BE-4C49-A726-8581B05B8934}">
  <sheetPr>
    <pageSetUpPr autoPageBreaks="0"/>
  </sheetPr>
  <dimension ref="B1:V27"/>
  <sheetViews>
    <sheetView topLeftCell="A4" zoomScaleNormal="100" workbookViewId="0">
      <selection activeCell="Q27" sqref="Q27"/>
    </sheetView>
  </sheetViews>
  <sheetFormatPr defaultColWidth="8.88671875" defaultRowHeight="14.4" x14ac:dyDescent="0.3"/>
  <cols>
    <col min="1" max="2" width="5.6640625" style="23" customWidth="1"/>
    <col min="3" max="3" width="2.44140625" style="23" customWidth="1"/>
    <col min="4" max="5" width="5.6640625" style="23" customWidth="1"/>
    <col min="6" max="6" width="4.5546875" style="23" customWidth="1"/>
    <col min="7" max="7" width="5.6640625" style="23" customWidth="1"/>
    <col min="8" max="8" width="4.33203125" style="23" customWidth="1"/>
    <col min="9" max="9" width="4.88671875" style="23" customWidth="1"/>
    <col min="10" max="10" width="5.6640625" style="23" customWidth="1"/>
    <col min="11" max="11" width="3.109375" style="23" customWidth="1"/>
    <col min="12" max="12" width="5.33203125" style="23" customWidth="1"/>
    <col min="13" max="13" width="5.5546875" style="23" customWidth="1"/>
    <col min="14" max="15" width="5.6640625" style="23" customWidth="1"/>
    <col min="16" max="16" width="5.109375" style="23" customWidth="1"/>
    <col min="17" max="17" width="5.88671875" style="23" customWidth="1"/>
    <col min="18" max="18" width="5.5546875" style="23" customWidth="1"/>
    <col min="19" max="19" width="6.44140625" style="23" customWidth="1"/>
    <col min="20" max="20" width="6.109375" style="23" customWidth="1"/>
    <col min="21" max="21" width="3.109375" style="23" customWidth="1"/>
    <col min="22" max="37" width="5.6640625" style="23" customWidth="1"/>
    <col min="38" max="16384" width="8.88671875" style="23"/>
  </cols>
  <sheetData>
    <row r="1" spans="2:22" ht="27" customHeight="1" x14ac:dyDescent="0.3">
      <c r="B1" s="116"/>
      <c r="V1" s="116"/>
    </row>
    <row r="2" spans="2:22" ht="30" customHeight="1" x14ac:dyDescent="0.3"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2:22" ht="30" customHeight="1" x14ac:dyDescent="0.3"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2:22" ht="30" customHeight="1" x14ac:dyDescent="0.3"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2:22" ht="30" customHeight="1" x14ac:dyDescent="0.3"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2:22" ht="30" customHeight="1" x14ac:dyDescent="0.3"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pans="2:22" ht="30" customHeight="1" x14ac:dyDescent="0.3"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</row>
    <row r="8" spans="2:22" ht="15" customHeight="1" x14ac:dyDescent="0.3"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spans="2:22" ht="30" customHeight="1" x14ac:dyDescent="0.3">
      <c r="C9" s="27"/>
      <c r="D9" s="125" t="e">
        <f>'Totals Residential &amp; Mixed-Use'!F16</f>
        <v>#N/A</v>
      </c>
      <c r="E9" s="126"/>
      <c r="F9" s="126"/>
      <c r="G9" s="127" t="s">
        <v>71</v>
      </c>
      <c r="H9" s="128"/>
      <c r="I9" s="128"/>
      <c r="J9" s="124" t="s">
        <v>245</v>
      </c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27"/>
    </row>
    <row r="10" spans="2:22" ht="19.5" customHeight="1" x14ac:dyDescent="0.3"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</row>
    <row r="11" spans="2:22" ht="21.75" customHeight="1" x14ac:dyDescent="0.3">
      <c r="C11" s="27"/>
      <c r="D11" s="27"/>
      <c r="E11" s="110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</row>
    <row r="12" spans="2:22" ht="30" customHeight="1" x14ac:dyDescent="0.3"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 spans="2:22" ht="30" customHeight="1" x14ac:dyDescent="0.3"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 spans="2:22" ht="30" customHeight="1" x14ac:dyDescent="0.3"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</row>
    <row r="15" spans="2:22" ht="26.25" customHeight="1" x14ac:dyDescent="0.3"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</row>
    <row r="16" spans="2:22" ht="6.75" customHeight="1" x14ac:dyDescent="0.3">
      <c r="C16" s="27"/>
      <c r="D16" s="27"/>
      <c r="E16" s="27"/>
      <c r="F16" s="27"/>
      <c r="G16" s="108"/>
      <c r="H16" s="109"/>
      <c r="I16" s="109"/>
      <c r="J16" s="111"/>
      <c r="K16" s="111"/>
      <c r="L16" s="27"/>
      <c r="M16" s="112"/>
      <c r="N16" s="27"/>
      <c r="O16" s="27"/>
      <c r="P16" s="27"/>
      <c r="Q16" s="27"/>
      <c r="R16" s="27"/>
      <c r="S16" s="27"/>
      <c r="T16" s="27"/>
      <c r="U16" s="27"/>
    </row>
    <row r="17" spans="2:22" ht="30" customHeight="1" x14ac:dyDescent="0.3">
      <c r="C17" s="27"/>
      <c r="D17" s="129" t="e">
        <f>'Totals Residential &amp; Mixed-Use'!K63</f>
        <v>#N/A</v>
      </c>
      <c r="E17" s="129"/>
      <c r="F17" s="108" t="s">
        <v>238</v>
      </c>
      <c r="G17" s="113"/>
      <c r="H17" s="113"/>
      <c r="I17" s="113"/>
      <c r="J17" s="113"/>
      <c r="K17" s="113"/>
      <c r="L17" s="124" t="s">
        <v>246</v>
      </c>
      <c r="M17" s="124"/>
      <c r="N17" s="124"/>
      <c r="O17" s="124"/>
      <c r="P17" s="124"/>
      <c r="Q17" s="124"/>
      <c r="R17" s="124"/>
      <c r="S17" s="124"/>
      <c r="T17" s="124"/>
      <c r="U17" s="27"/>
    </row>
    <row r="18" spans="2:22" ht="19.5" customHeight="1" x14ac:dyDescent="0.3"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2:22" ht="30" customHeight="1" x14ac:dyDescent="0.3"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  <row r="20" spans="2:22" ht="50.25" customHeight="1" x14ac:dyDescent="0.3"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 spans="2:22" ht="18" customHeight="1" x14ac:dyDescent="0.3"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spans="2:22" ht="30" customHeight="1" x14ac:dyDescent="0.3">
      <c r="C22" s="27"/>
      <c r="D22" s="123" t="e">
        <f>'Totals Residential &amp; Mixed-Use'!Y17</f>
        <v>#N/A</v>
      </c>
      <c r="E22" s="123"/>
      <c r="F22" s="123"/>
      <c r="G22" s="124" t="s">
        <v>240</v>
      </c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14"/>
      <c r="U22" s="27"/>
    </row>
    <row r="23" spans="2:22" ht="6.75" customHeight="1" x14ac:dyDescent="0.3">
      <c r="C23" s="27"/>
      <c r="D23" s="96"/>
      <c r="E23" s="96"/>
      <c r="F23" s="96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27"/>
    </row>
    <row r="24" spans="2:22" ht="30" customHeight="1" x14ac:dyDescent="0.3">
      <c r="C24" s="27"/>
      <c r="D24" s="123" t="e">
        <f>'Totals Residential &amp; Mixed-Use'!X17</f>
        <v>#N/A</v>
      </c>
      <c r="E24" s="123"/>
      <c r="F24" s="123"/>
      <c r="G24" s="124" t="s">
        <v>244</v>
      </c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14"/>
      <c r="U24" s="115"/>
    </row>
    <row r="25" spans="2:22" ht="23.25" customHeight="1" x14ac:dyDescent="0.3">
      <c r="D25" s="96"/>
      <c r="E25" s="27"/>
      <c r="F25" s="96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07" t="s">
        <v>279</v>
      </c>
      <c r="U25" s="114"/>
    </row>
    <row r="26" spans="2:22" ht="30" customHeight="1" x14ac:dyDescent="0.3">
      <c r="B26" s="116"/>
      <c r="V26" s="116"/>
    </row>
    <row r="27" spans="2:22" ht="30" customHeight="1" thickBot="1" x14ac:dyDescent="0.35">
      <c r="C27" s="94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</row>
  </sheetData>
  <mergeCells count="9">
    <mergeCell ref="D24:F24"/>
    <mergeCell ref="G24:S24"/>
    <mergeCell ref="D9:F9"/>
    <mergeCell ref="G9:I9"/>
    <mergeCell ref="J9:T9"/>
    <mergeCell ref="D17:E17"/>
    <mergeCell ref="L17:T17"/>
    <mergeCell ref="D22:F22"/>
    <mergeCell ref="G22:S22"/>
  </mergeCells>
  <pageMargins left="0.70866141732283472" right="0.70866141732283472" top="0.74803149606299213" bottom="0.74803149606299213" header="0.31496062992125984" footer="0.31496062992125984"/>
  <pageSetup paperSize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68A7-AA1D-4556-81AD-C23148F90A2E}">
  <dimension ref="A1:U70"/>
  <sheetViews>
    <sheetView tabSelected="1" topLeftCell="I28" zoomScaleNormal="100" workbookViewId="0">
      <selection activeCell="V52" sqref="V52"/>
    </sheetView>
  </sheetViews>
  <sheetFormatPr defaultColWidth="8.88671875" defaultRowHeight="14.4" x14ac:dyDescent="0.3"/>
  <cols>
    <col min="1" max="1" width="8.44140625" style="27" customWidth="1"/>
    <col min="2" max="2" width="4.6640625" style="23" customWidth="1"/>
    <col min="3" max="3" width="35.6640625" style="23" customWidth="1"/>
    <col min="4" max="4" width="19.33203125" style="23" bestFit="1" customWidth="1"/>
    <col min="5" max="5" width="10.5546875" style="23" bestFit="1" customWidth="1"/>
    <col min="6" max="6" width="8.88671875" style="23"/>
    <col min="7" max="7" width="3.44140625" style="23" customWidth="1"/>
    <col min="8" max="8" width="35.6640625" style="23" bestFit="1" customWidth="1"/>
    <col min="9" max="9" width="16" style="23" bestFit="1" customWidth="1"/>
    <col min="10" max="10" width="10.6640625" style="23" bestFit="1" customWidth="1"/>
    <col min="11" max="11" width="8.88671875" style="23"/>
    <col min="12" max="12" width="35.6640625" style="23" bestFit="1" customWidth="1"/>
    <col min="13" max="13" width="12.5546875" style="23" customWidth="1"/>
    <col min="14" max="14" width="10.6640625" style="23" bestFit="1" customWidth="1"/>
    <col min="15" max="15" width="8.88671875" style="23"/>
    <col min="16" max="16" width="34.109375" style="27" customWidth="1"/>
    <col min="17" max="21" width="8.88671875" style="27"/>
    <col min="22" max="16384" width="8.88671875" style="23"/>
  </cols>
  <sheetData>
    <row r="1" spans="2:15" s="27" customFormat="1" x14ac:dyDescent="0.3"/>
    <row r="2" spans="2:15" s="27" customFormat="1" ht="15" thickBot="1" x14ac:dyDescent="0.35"/>
    <row r="3" spans="2:15" ht="17.399999999999999" x14ac:dyDescent="0.35">
      <c r="B3" s="134" t="s">
        <v>0</v>
      </c>
      <c r="C3" s="135"/>
      <c r="D3" s="135"/>
      <c r="E3" s="136"/>
      <c r="F3" s="27"/>
      <c r="G3" s="131" t="s">
        <v>51</v>
      </c>
      <c r="H3" s="132"/>
      <c r="I3" s="132"/>
      <c r="J3" s="133"/>
      <c r="K3" s="27"/>
      <c r="L3" s="27"/>
      <c r="M3" s="27"/>
      <c r="N3" s="27"/>
      <c r="O3" s="27"/>
    </row>
    <row r="4" spans="2:15" x14ac:dyDescent="0.3">
      <c r="B4" s="26"/>
      <c r="C4" s="27"/>
      <c r="D4" s="27"/>
      <c r="E4" s="28"/>
      <c r="F4" s="27"/>
      <c r="G4" s="26"/>
      <c r="H4" s="27"/>
      <c r="I4" s="27"/>
      <c r="J4" s="28"/>
      <c r="K4" s="27"/>
      <c r="L4" s="27"/>
      <c r="M4" s="27"/>
      <c r="N4" s="27"/>
      <c r="O4" s="27"/>
    </row>
    <row r="5" spans="2:15" x14ac:dyDescent="0.3">
      <c r="B5" s="26"/>
      <c r="C5" s="36" t="s">
        <v>239</v>
      </c>
      <c r="D5" s="68"/>
      <c r="E5" s="28"/>
      <c r="F5" s="27"/>
      <c r="G5" s="26"/>
      <c r="H5" s="27"/>
      <c r="I5" s="27"/>
      <c r="J5" s="28"/>
      <c r="K5" s="27"/>
      <c r="L5" s="27"/>
      <c r="M5" s="27"/>
      <c r="N5" s="27"/>
      <c r="O5" s="27"/>
    </row>
    <row r="6" spans="2:15" x14ac:dyDescent="0.3">
      <c r="B6" s="26"/>
      <c r="C6" s="35" t="s">
        <v>251</v>
      </c>
      <c r="D6" s="65"/>
      <c r="E6" s="28"/>
      <c r="F6" s="27"/>
      <c r="G6" s="26"/>
      <c r="H6" s="35" t="s">
        <v>52</v>
      </c>
      <c r="I6" s="66"/>
      <c r="J6" s="28"/>
      <c r="K6" s="27"/>
      <c r="L6" s="27"/>
      <c r="M6" s="27"/>
      <c r="N6" s="27"/>
      <c r="O6" s="27"/>
    </row>
    <row r="7" spans="2:15" x14ac:dyDescent="0.3">
      <c r="B7" s="26"/>
      <c r="C7" s="35" t="s">
        <v>252</v>
      </c>
      <c r="D7" s="92"/>
      <c r="E7" s="28" t="s">
        <v>7</v>
      </c>
      <c r="F7" s="27"/>
      <c r="G7" s="26"/>
      <c r="H7" s="35" t="s">
        <v>53</v>
      </c>
      <c r="I7" s="66"/>
      <c r="J7" s="28"/>
      <c r="K7" s="27"/>
      <c r="L7" s="27"/>
      <c r="M7" s="27"/>
      <c r="N7" s="27"/>
      <c r="O7" s="27"/>
    </row>
    <row r="8" spans="2:15" ht="15" thickBot="1" x14ac:dyDescent="0.35">
      <c r="B8" s="26"/>
      <c r="C8" s="35" t="s">
        <v>1</v>
      </c>
      <c r="D8" s="65"/>
      <c r="E8" s="28" t="s">
        <v>7</v>
      </c>
      <c r="F8" s="27"/>
      <c r="G8" s="29"/>
      <c r="H8" s="25"/>
      <c r="I8" s="25"/>
      <c r="J8" s="30"/>
      <c r="K8" s="27"/>
      <c r="L8" s="27"/>
      <c r="M8" s="27"/>
      <c r="N8" s="27"/>
      <c r="O8" s="27"/>
    </row>
    <row r="9" spans="2:15" x14ac:dyDescent="0.3">
      <c r="B9" s="26"/>
      <c r="C9" s="35" t="s">
        <v>2</v>
      </c>
      <c r="D9" s="65"/>
      <c r="E9" s="28" t="s">
        <v>7</v>
      </c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2:15" x14ac:dyDescent="0.3">
      <c r="B10" s="26"/>
      <c r="C10" s="35" t="s">
        <v>3</v>
      </c>
      <c r="D10" s="65"/>
      <c r="E10" s="28" t="s">
        <v>7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2:15" x14ac:dyDescent="0.3">
      <c r="B11" s="26"/>
      <c r="C11" s="35" t="s">
        <v>4</v>
      </c>
      <c r="D11" s="65"/>
      <c r="E11" s="28" t="s">
        <v>7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2:15" x14ac:dyDescent="0.3">
      <c r="B12" s="26"/>
      <c r="C12" s="35" t="s">
        <v>5</v>
      </c>
      <c r="D12" s="65"/>
      <c r="E12" s="28" t="s">
        <v>7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2:15" x14ac:dyDescent="0.3">
      <c r="B13" s="26"/>
      <c r="C13" s="35" t="s">
        <v>6</v>
      </c>
      <c r="D13" s="65"/>
      <c r="E13" s="28" t="s">
        <v>7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2:15" x14ac:dyDescent="0.3">
      <c r="B14" s="26"/>
      <c r="C14" s="35" t="s">
        <v>162</v>
      </c>
      <c r="D14" s="65"/>
      <c r="E14" s="28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2:15" x14ac:dyDescent="0.3">
      <c r="B15" s="26"/>
      <c r="C15" s="35" t="s">
        <v>163</v>
      </c>
      <c r="D15" s="65"/>
      <c r="E15" s="28" t="s">
        <v>164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2:15" x14ac:dyDescent="0.3">
      <c r="B16" s="26"/>
      <c r="C16" s="27"/>
      <c r="D16" s="27"/>
      <c r="E16" s="28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2:15" x14ac:dyDescent="0.3">
      <c r="B17" s="26"/>
      <c r="C17" s="35" t="s">
        <v>212</v>
      </c>
      <c r="D17" s="65"/>
      <c r="E17" s="28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2:15" ht="15" thickBot="1" x14ac:dyDescent="0.35">
      <c r="B18" s="29"/>
      <c r="C18" s="25"/>
      <c r="D18" s="25"/>
      <c r="E18" s="30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2:15" s="27" customFormat="1" ht="15" thickBot="1" x14ac:dyDescent="0.35"/>
    <row r="20" spans="2:15" ht="17.399999999999999" x14ac:dyDescent="0.35">
      <c r="B20" s="134" t="s">
        <v>20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6"/>
    </row>
    <row r="21" spans="2:15" x14ac:dyDescent="0.3">
      <c r="B21" s="26"/>
      <c r="C21" s="31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8"/>
    </row>
    <row r="22" spans="2:15" x14ac:dyDescent="0.3">
      <c r="B22" s="26"/>
      <c r="C22" s="130" t="s">
        <v>16</v>
      </c>
      <c r="D22" s="130"/>
      <c r="E22" s="130"/>
      <c r="F22" s="27"/>
      <c r="G22" s="27"/>
      <c r="H22" s="130" t="s">
        <v>1</v>
      </c>
      <c r="I22" s="130"/>
      <c r="J22" s="130"/>
      <c r="L22" s="130" t="s">
        <v>2</v>
      </c>
      <c r="M22" s="130"/>
      <c r="N22" s="130"/>
      <c r="O22" s="28"/>
    </row>
    <row r="23" spans="2:15" ht="28.8" x14ac:dyDescent="0.3">
      <c r="B23" s="26"/>
      <c r="C23" s="32" t="s">
        <v>9</v>
      </c>
      <c r="D23" s="68"/>
      <c r="E23" s="36" t="s">
        <v>8</v>
      </c>
      <c r="F23" s="27"/>
      <c r="G23" s="27"/>
      <c r="H23" s="34" t="s">
        <v>17</v>
      </c>
      <c r="I23" s="68">
        <v>0</v>
      </c>
      <c r="J23" s="35" t="s">
        <v>18</v>
      </c>
      <c r="K23" s="27"/>
      <c r="L23" s="34" t="s">
        <v>17</v>
      </c>
      <c r="M23" s="70"/>
      <c r="N23" s="35" t="s">
        <v>18</v>
      </c>
      <c r="O23" s="28"/>
    </row>
    <row r="24" spans="2:15" x14ac:dyDescent="0.3">
      <c r="B24" s="26"/>
      <c r="C24" s="33" t="s">
        <v>48</v>
      </c>
      <c r="D24" s="68"/>
      <c r="E24" s="35" t="s">
        <v>49</v>
      </c>
      <c r="F24" s="27"/>
      <c r="G24" s="27"/>
      <c r="H24" s="35" t="s">
        <v>11</v>
      </c>
      <c r="I24" s="66" t="s">
        <v>29</v>
      </c>
      <c r="J24" s="36"/>
      <c r="K24" s="27"/>
      <c r="L24" s="35" t="s">
        <v>11</v>
      </c>
      <c r="M24" s="65" t="s">
        <v>29</v>
      </c>
      <c r="N24" s="36"/>
      <c r="O24" s="28"/>
    </row>
    <row r="25" spans="2:15" x14ac:dyDescent="0.3">
      <c r="B25" s="26"/>
      <c r="C25" s="33" t="s">
        <v>50</v>
      </c>
      <c r="D25" s="68"/>
      <c r="E25" s="36" t="s">
        <v>49</v>
      </c>
      <c r="F25" s="27"/>
      <c r="G25" s="27"/>
      <c r="H25" s="35" t="s">
        <v>12</v>
      </c>
      <c r="I25" s="102">
        <f>VLOOKUP(I24,Table13[#All],2,FALSE)</f>
        <v>3.4</v>
      </c>
      <c r="J25" s="35" t="s">
        <v>13</v>
      </c>
      <c r="K25" s="27"/>
      <c r="L25" s="35" t="s">
        <v>12</v>
      </c>
      <c r="M25" s="102">
        <f>VLOOKUP(M24,Table13[#All],2,FALSE)</f>
        <v>3.4</v>
      </c>
      <c r="N25" s="35" t="s">
        <v>13</v>
      </c>
      <c r="O25" s="28"/>
    </row>
    <row r="26" spans="2:15" x14ac:dyDescent="0.3">
      <c r="B26" s="26"/>
      <c r="C26" s="33" t="s">
        <v>32</v>
      </c>
      <c r="D26" s="66" t="s">
        <v>28</v>
      </c>
      <c r="E26" s="35"/>
      <c r="F26" s="27"/>
      <c r="G26" s="27"/>
      <c r="H26" s="35" t="s">
        <v>19</v>
      </c>
      <c r="I26" s="66">
        <v>0</v>
      </c>
      <c r="J26" s="35" t="s">
        <v>18</v>
      </c>
      <c r="K26" s="27"/>
      <c r="L26" s="35" t="s">
        <v>19</v>
      </c>
      <c r="M26" s="65">
        <v>0</v>
      </c>
      <c r="N26" s="35" t="s">
        <v>18</v>
      </c>
      <c r="O26" s="28"/>
    </row>
    <row r="27" spans="2:15" x14ac:dyDescent="0.3">
      <c r="B27" s="26"/>
      <c r="C27" s="33" t="s">
        <v>33</v>
      </c>
      <c r="D27" s="66" t="s">
        <v>28</v>
      </c>
      <c r="E27" s="35"/>
      <c r="F27" s="27"/>
      <c r="G27" s="27"/>
      <c r="H27" s="35" t="s">
        <v>42</v>
      </c>
      <c r="I27" s="66"/>
      <c r="J27" s="35"/>
      <c r="K27" s="27"/>
      <c r="L27" s="27"/>
      <c r="M27" s="27"/>
      <c r="N27" s="27"/>
      <c r="O27" s="28"/>
    </row>
    <row r="28" spans="2:15" x14ac:dyDescent="0.3">
      <c r="B28" s="26"/>
      <c r="C28" s="33" t="s">
        <v>36</v>
      </c>
      <c r="D28" s="102">
        <f>VLOOKUP(D26,Table8[#All],2,FALSE)</f>
        <v>3.1</v>
      </c>
      <c r="E28" s="35" t="s">
        <v>13</v>
      </c>
      <c r="F28" s="27"/>
      <c r="G28" s="27"/>
      <c r="H28" s="27"/>
      <c r="I28"/>
      <c r="J28" s="27"/>
      <c r="K28" s="27"/>
      <c r="L28" s="27" t="s">
        <v>175</v>
      </c>
      <c r="M28" s="27"/>
      <c r="N28" s="27"/>
      <c r="O28" s="28"/>
    </row>
    <row r="29" spans="2:15" x14ac:dyDescent="0.3">
      <c r="B29" s="26"/>
      <c r="C29" s="33" t="s">
        <v>37</v>
      </c>
      <c r="D29" s="102">
        <f>VLOOKUP(D27,Table8[#All],2,FALSE)</f>
        <v>3.1</v>
      </c>
      <c r="E29" s="36" t="s">
        <v>13</v>
      </c>
      <c r="F29" s="27"/>
      <c r="G29" s="27"/>
      <c r="H29" s="27" t="s">
        <v>175</v>
      </c>
      <c r="I29" s="27"/>
      <c r="J29" s="27"/>
      <c r="K29" s="27"/>
      <c r="L29" s="27"/>
      <c r="M29" s="27"/>
      <c r="N29" s="27"/>
      <c r="O29" s="28"/>
    </row>
    <row r="30" spans="2:15" x14ac:dyDescent="0.3">
      <c r="B30" s="26"/>
      <c r="C30" s="33" t="s">
        <v>19</v>
      </c>
      <c r="D30" s="68">
        <v>20</v>
      </c>
      <c r="E30" s="35" t="s">
        <v>18</v>
      </c>
      <c r="F30" s="27"/>
      <c r="G30" s="27"/>
      <c r="H30" s="27"/>
      <c r="I30" s="27"/>
      <c r="J30" s="27"/>
      <c r="K30" s="27"/>
      <c r="L30" s="130" t="s">
        <v>176</v>
      </c>
      <c r="M30" s="130"/>
      <c r="N30" s="130"/>
      <c r="O30" s="28"/>
    </row>
    <row r="31" spans="2:15" x14ac:dyDescent="0.3">
      <c r="B31" s="26"/>
      <c r="C31" s="33" t="s">
        <v>21</v>
      </c>
      <c r="D31" s="66" t="s">
        <v>231</v>
      </c>
      <c r="E31" s="36" t="s">
        <v>10</v>
      </c>
      <c r="F31" s="27"/>
      <c r="G31" s="27"/>
      <c r="H31" s="130" t="s">
        <v>176</v>
      </c>
      <c r="I31" s="130"/>
      <c r="J31" s="130"/>
      <c r="K31" s="27"/>
      <c r="L31" s="36" t="s">
        <v>192</v>
      </c>
      <c r="M31" s="65"/>
      <c r="N31" s="36" t="s">
        <v>132</v>
      </c>
      <c r="O31" s="28"/>
    </row>
    <row r="32" spans="2:15" x14ac:dyDescent="0.3">
      <c r="B32" s="26"/>
      <c r="C32" s="33" t="s">
        <v>42</v>
      </c>
      <c r="D32" s="66" t="s">
        <v>43</v>
      </c>
      <c r="E32" s="35"/>
      <c r="F32" s="27"/>
      <c r="G32" s="27"/>
      <c r="H32" s="36" t="s">
        <v>192</v>
      </c>
      <c r="I32" s="65"/>
      <c r="J32" s="36" t="s">
        <v>132</v>
      </c>
      <c r="K32" s="27"/>
      <c r="L32" s="35" t="s">
        <v>193</v>
      </c>
      <c r="M32" s="65"/>
      <c r="N32" s="35" t="s">
        <v>132</v>
      </c>
      <c r="O32" s="28"/>
    </row>
    <row r="33" spans="2:19" x14ac:dyDescent="0.3">
      <c r="B33" s="26"/>
      <c r="C33" s="33" t="s">
        <v>25</v>
      </c>
      <c r="D33" s="66"/>
      <c r="E33" s="35" t="s">
        <v>22</v>
      </c>
      <c r="F33" s="27"/>
      <c r="G33" s="27"/>
      <c r="H33" s="35" t="s">
        <v>193</v>
      </c>
      <c r="I33" s="65"/>
      <c r="J33" s="35" t="s">
        <v>132</v>
      </c>
      <c r="K33" s="27"/>
      <c r="L33" s="36" t="s">
        <v>196</v>
      </c>
      <c r="M33" s="65"/>
      <c r="N33" s="36" t="s">
        <v>49</v>
      </c>
      <c r="O33" s="28"/>
    </row>
    <row r="34" spans="2:19" x14ac:dyDescent="0.3">
      <c r="B34" s="26"/>
      <c r="C34" s="33" t="s">
        <v>26</v>
      </c>
      <c r="D34" s="66"/>
      <c r="E34" s="35" t="s">
        <v>22</v>
      </c>
      <c r="F34" s="27"/>
      <c r="G34" s="27"/>
      <c r="H34" s="36" t="s">
        <v>196</v>
      </c>
      <c r="I34" s="65"/>
      <c r="J34" s="36" t="s">
        <v>49</v>
      </c>
      <c r="K34" s="27"/>
      <c r="L34" s="35" t="s">
        <v>197</v>
      </c>
      <c r="M34" s="65"/>
      <c r="N34" s="35" t="s">
        <v>49</v>
      </c>
      <c r="O34" s="28"/>
    </row>
    <row r="35" spans="2:19" x14ac:dyDescent="0.3">
      <c r="B35" s="26"/>
      <c r="C35" s="27"/>
      <c r="D35" s="27"/>
      <c r="E35" s="27"/>
      <c r="F35" s="27"/>
      <c r="G35" s="27"/>
      <c r="H35" s="35" t="s">
        <v>197</v>
      </c>
      <c r="I35" s="65"/>
      <c r="J35" s="35" t="s">
        <v>49</v>
      </c>
      <c r="K35" s="27"/>
      <c r="L35" s="35" t="s">
        <v>178</v>
      </c>
      <c r="M35" s="65"/>
      <c r="N35" s="35" t="s">
        <v>132</v>
      </c>
      <c r="O35" s="28"/>
    </row>
    <row r="36" spans="2:19" x14ac:dyDescent="0.3">
      <c r="B36" s="26"/>
      <c r="C36" s="56"/>
      <c r="D36" s="67"/>
      <c r="E36" s="27"/>
      <c r="F36" s="27"/>
      <c r="G36" s="27"/>
      <c r="H36" s="35" t="s">
        <v>178</v>
      </c>
      <c r="I36" s="65"/>
      <c r="J36" s="35" t="s">
        <v>132</v>
      </c>
      <c r="K36" s="27"/>
      <c r="L36" s="35" t="s">
        <v>179</v>
      </c>
      <c r="M36" s="65"/>
      <c r="N36" s="35" t="s">
        <v>132</v>
      </c>
      <c r="O36" s="28"/>
    </row>
    <row r="37" spans="2:19" x14ac:dyDescent="0.3">
      <c r="B37" s="26"/>
      <c r="C37" s="56"/>
      <c r="D37" s="67"/>
      <c r="E37" s="27"/>
      <c r="F37" s="27"/>
      <c r="G37" s="27"/>
      <c r="H37" s="35" t="s">
        <v>179</v>
      </c>
      <c r="I37" s="65"/>
      <c r="J37" s="35" t="s">
        <v>132</v>
      </c>
      <c r="K37" s="27"/>
      <c r="L37" s="27"/>
      <c r="N37" s="36"/>
      <c r="O37" s="28"/>
    </row>
    <row r="38" spans="2:19" x14ac:dyDescent="0.3">
      <c r="B38" s="26"/>
      <c r="C38" s="27"/>
      <c r="D38" s="27"/>
      <c r="E38" s="27"/>
      <c r="F38" s="27"/>
      <c r="G38" s="27"/>
      <c r="H38" s="27"/>
      <c r="J38" s="36"/>
      <c r="K38" s="27"/>
      <c r="L38" s="36" t="s">
        <v>194</v>
      </c>
      <c r="M38" s="65"/>
      <c r="N38" s="35" t="s">
        <v>132</v>
      </c>
      <c r="O38" s="28"/>
    </row>
    <row r="39" spans="2:19" x14ac:dyDescent="0.3">
      <c r="B39" s="26"/>
      <c r="C39" s="27"/>
      <c r="D39" s="27"/>
      <c r="E39" s="27"/>
      <c r="F39" s="27"/>
      <c r="G39" s="27"/>
      <c r="H39" s="36" t="s">
        <v>194</v>
      </c>
      <c r="I39" s="66"/>
      <c r="J39" s="35" t="s">
        <v>132</v>
      </c>
      <c r="K39" s="27"/>
      <c r="L39" s="35" t="s">
        <v>195</v>
      </c>
      <c r="M39" s="65"/>
      <c r="N39" s="36" t="s">
        <v>132</v>
      </c>
      <c r="O39" s="28"/>
    </row>
    <row r="40" spans="2:19" x14ac:dyDescent="0.3">
      <c r="B40" s="26"/>
      <c r="C40" s="33" t="s">
        <v>187</v>
      </c>
      <c r="D40" s="66"/>
      <c r="E40" s="27" t="s">
        <v>22</v>
      </c>
      <c r="F40" s="27"/>
      <c r="G40" s="27"/>
      <c r="H40" s="35" t="s">
        <v>195</v>
      </c>
      <c r="I40" s="66"/>
      <c r="J40" s="36" t="s">
        <v>132</v>
      </c>
      <c r="K40" s="27"/>
      <c r="L40" s="36" t="s">
        <v>198</v>
      </c>
      <c r="M40" s="65"/>
      <c r="N40" s="35" t="s">
        <v>49</v>
      </c>
      <c r="O40" s="28"/>
    </row>
    <row r="41" spans="2:19" x14ac:dyDescent="0.3">
      <c r="B41" s="26"/>
      <c r="C41" s="35" t="s">
        <v>248</v>
      </c>
      <c r="D41" s="66"/>
      <c r="E41" s="27" t="s">
        <v>249</v>
      </c>
      <c r="F41" s="27"/>
      <c r="G41" s="27"/>
      <c r="H41" s="36" t="s">
        <v>198</v>
      </c>
      <c r="I41" s="66"/>
      <c r="J41" s="35" t="s">
        <v>49</v>
      </c>
      <c r="K41" s="27"/>
      <c r="L41" s="35" t="s">
        <v>199</v>
      </c>
      <c r="M41" s="65"/>
      <c r="N41" s="35" t="s">
        <v>49</v>
      </c>
      <c r="O41" s="28"/>
    </row>
    <row r="42" spans="2:19" x14ac:dyDescent="0.3">
      <c r="B42" s="26"/>
      <c r="C42" s="27"/>
      <c r="D42" s="27"/>
      <c r="E42" s="27"/>
      <c r="F42" s="27"/>
      <c r="G42" s="27"/>
      <c r="H42" s="35" t="s">
        <v>199</v>
      </c>
      <c r="I42" s="66"/>
      <c r="J42" s="35" t="s">
        <v>49</v>
      </c>
      <c r="K42" s="27"/>
      <c r="L42" s="35" t="s">
        <v>180</v>
      </c>
      <c r="M42" s="65"/>
      <c r="N42" s="35" t="s">
        <v>132</v>
      </c>
      <c r="O42" s="28"/>
    </row>
    <row r="43" spans="2:19" x14ac:dyDescent="0.3">
      <c r="B43" s="26"/>
      <c r="C43" s="27"/>
      <c r="D43" s="27"/>
      <c r="E43" s="27"/>
      <c r="F43" s="27"/>
      <c r="G43" s="27"/>
      <c r="H43" s="35" t="s">
        <v>180</v>
      </c>
      <c r="I43" s="66"/>
      <c r="J43" s="35" t="s">
        <v>132</v>
      </c>
      <c r="K43" s="27"/>
      <c r="L43" s="35" t="s">
        <v>181</v>
      </c>
      <c r="M43" s="65"/>
      <c r="N43" s="36" t="s">
        <v>132</v>
      </c>
      <c r="O43" s="28"/>
    </row>
    <row r="44" spans="2:19" x14ac:dyDescent="0.3">
      <c r="B44" s="26"/>
      <c r="C44" s="27"/>
      <c r="D44" s="27"/>
      <c r="E44" s="27"/>
      <c r="F44" s="27"/>
      <c r="G44" s="27"/>
      <c r="H44" s="35" t="s">
        <v>181</v>
      </c>
      <c r="I44" s="66"/>
      <c r="J44" s="36" t="s">
        <v>132</v>
      </c>
      <c r="K44" s="27"/>
      <c r="L44" s="27"/>
      <c r="M44" s="58"/>
      <c r="N44" s="27"/>
      <c r="O44" s="28"/>
    </row>
    <row r="45" spans="2:19" ht="15" thickBot="1" x14ac:dyDescent="0.35">
      <c r="B45" s="29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30"/>
    </row>
    <row r="46" spans="2:19" ht="15" thickBot="1" x14ac:dyDescent="0.35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2:19" x14ac:dyDescent="0.3">
      <c r="B47" s="131" t="s">
        <v>23</v>
      </c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3"/>
    </row>
    <row r="48" spans="2:19" x14ac:dyDescent="0.3"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S48" s="28"/>
    </row>
    <row r="49" spans="1:21" x14ac:dyDescent="0.3">
      <c r="B49" s="26"/>
      <c r="C49" s="130" t="s">
        <v>16</v>
      </c>
      <c r="D49" s="130"/>
      <c r="E49" s="130"/>
      <c r="F49" s="27"/>
      <c r="G49" s="27"/>
      <c r="H49" s="130" t="s">
        <v>1</v>
      </c>
      <c r="I49" s="130"/>
      <c r="J49" s="130"/>
      <c r="K49" s="27"/>
      <c r="L49" s="130" t="s">
        <v>2</v>
      </c>
      <c r="M49" s="130"/>
      <c r="N49" s="130"/>
      <c r="O49" s="27"/>
      <c r="P49" s="130" t="s">
        <v>219</v>
      </c>
      <c r="Q49" s="130"/>
      <c r="R49" s="130"/>
      <c r="S49" s="28"/>
    </row>
    <row r="50" spans="1:21" x14ac:dyDescent="0.3">
      <c r="B50" s="26"/>
      <c r="C50" s="36" t="s">
        <v>207</v>
      </c>
      <c r="D50" s="103">
        <f>D6*2.5</f>
        <v>0</v>
      </c>
      <c r="E50" s="36" t="s">
        <v>209</v>
      </c>
      <c r="F50" s="27"/>
      <c r="G50" s="27"/>
      <c r="H50" s="36" t="s">
        <v>14</v>
      </c>
      <c r="I50" s="68" t="s">
        <v>39</v>
      </c>
      <c r="J50" s="36"/>
      <c r="K50" s="27"/>
      <c r="L50" s="36" t="s">
        <v>14</v>
      </c>
      <c r="M50" s="70" t="s">
        <v>40</v>
      </c>
      <c r="N50" s="36"/>
      <c r="O50" s="27"/>
      <c r="S50" s="28"/>
    </row>
    <row r="51" spans="1:21" x14ac:dyDescent="0.3">
      <c r="B51" s="26"/>
      <c r="C51" s="33" t="s">
        <v>14</v>
      </c>
      <c r="D51" s="66"/>
      <c r="E51" s="35"/>
      <c r="F51" s="27"/>
      <c r="G51" s="27"/>
      <c r="H51" s="35" t="s">
        <v>15</v>
      </c>
      <c r="I51" s="102">
        <f>VLOOKUP(I50,Table9[#All],2,FALSE)</f>
        <v>2.5</v>
      </c>
      <c r="J51" s="35" t="s">
        <v>13</v>
      </c>
      <c r="K51" s="27"/>
      <c r="L51" s="35" t="s">
        <v>15</v>
      </c>
      <c r="M51" s="69">
        <f>VLOOKUP(M50,Table9[#All],2,FALSE)</f>
        <v>1</v>
      </c>
      <c r="N51" s="35" t="s">
        <v>13</v>
      </c>
      <c r="O51" s="27"/>
      <c r="P51" s="73" t="s">
        <v>216</v>
      </c>
      <c r="Q51" s="74"/>
      <c r="R51" s="35" t="s">
        <v>218</v>
      </c>
      <c r="S51" s="28"/>
    </row>
    <row r="52" spans="1:21" ht="28.8" x14ac:dyDescent="0.3">
      <c r="B52" s="26"/>
      <c r="C52" s="33" t="s">
        <v>15</v>
      </c>
      <c r="D52" s="102" t="e">
        <f>VLOOKUP(D51,Table9[#All],2,FALSE)</f>
        <v>#N/A</v>
      </c>
      <c r="E52" s="36" t="s">
        <v>13</v>
      </c>
      <c r="F52" s="27"/>
      <c r="G52" s="27"/>
      <c r="H52" s="35" t="s">
        <v>208</v>
      </c>
      <c r="I52" s="104">
        <f>D8/3</f>
        <v>0</v>
      </c>
      <c r="J52" s="36" t="s">
        <v>209</v>
      </c>
      <c r="K52" s="27"/>
      <c r="L52" s="35" t="s">
        <v>208</v>
      </c>
      <c r="M52" s="102">
        <f>D9/10</f>
        <v>0</v>
      </c>
      <c r="N52" s="36" t="s">
        <v>209</v>
      </c>
      <c r="O52" s="27"/>
      <c r="P52" s="73" t="s">
        <v>220</v>
      </c>
      <c r="Q52" s="74"/>
      <c r="R52" s="36" t="s">
        <v>218</v>
      </c>
      <c r="S52" s="28"/>
    </row>
    <row r="53" spans="1:21" s="64" customFormat="1" ht="28.8" x14ac:dyDescent="0.3">
      <c r="A53" s="60"/>
      <c r="B53" s="61"/>
      <c r="C53" s="62" t="s">
        <v>210</v>
      </c>
      <c r="D53" s="71"/>
      <c r="E53" s="36" t="s">
        <v>18</v>
      </c>
      <c r="F53" s="60"/>
      <c r="G53" s="60"/>
      <c r="H53" s="62" t="s">
        <v>211</v>
      </c>
      <c r="I53" s="72"/>
      <c r="J53" s="36" t="s">
        <v>18</v>
      </c>
      <c r="K53" s="60"/>
      <c r="L53" s="62" t="s">
        <v>211</v>
      </c>
      <c r="M53" s="71"/>
      <c r="N53" s="36" t="s">
        <v>18</v>
      </c>
      <c r="O53" s="60"/>
      <c r="P53" s="73" t="s">
        <v>217</v>
      </c>
      <c r="Q53" s="74"/>
      <c r="R53" s="36" t="s">
        <v>218</v>
      </c>
      <c r="S53" s="63"/>
      <c r="T53" s="60"/>
      <c r="U53" s="60"/>
    </row>
    <row r="54" spans="1:21" s="64" customFormat="1" ht="15" thickBot="1" x14ac:dyDescent="0.35">
      <c r="A54" s="60"/>
      <c r="B54" s="29"/>
      <c r="C54" s="59"/>
      <c r="D54" s="59"/>
      <c r="E54" s="25"/>
      <c r="F54" s="25"/>
      <c r="G54" s="25"/>
      <c r="H54" s="25"/>
      <c r="I54" s="24"/>
      <c r="J54" s="25"/>
      <c r="K54" s="25"/>
      <c r="L54" s="25"/>
      <c r="M54" s="25"/>
      <c r="N54" s="25"/>
      <c r="O54" s="25"/>
      <c r="P54" s="25"/>
      <c r="Q54" s="25"/>
      <c r="R54" s="25"/>
      <c r="S54" s="30"/>
      <c r="T54" s="60"/>
      <c r="U54" s="60"/>
    </row>
    <row r="55" spans="1:21" s="64" customFormat="1" x14ac:dyDescent="0.3">
      <c r="A55" s="60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60"/>
      <c r="U55" s="60"/>
    </row>
    <row r="56" spans="1:21" x14ac:dyDescent="0.3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</row>
    <row r="57" spans="1:21" s="27" customFormat="1" x14ac:dyDescent="0.3"/>
    <row r="58" spans="1:21" s="27" customFormat="1" x14ac:dyDescent="0.3"/>
    <row r="59" spans="1:21" s="27" customFormat="1" x14ac:dyDescent="0.3"/>
    <row r="60" spans="1:21" s="27" customFormat="1" x14ac:dyDescent="0.3"/>
    <row r="61" spans="1:21" s="27" customFormat="1" x14ac:dyDescent="0.3"/>
    <row r="62" spans="1:21" s="27" customFormat="1" x14ac:dyDescent="0.3"/>
    <row r="63" spans="1:21" s="27" customFormat="1" x14ac:dyDescent="0.3"/>
    <row r="64" spans="1:21" s="27" customFormat="1" x14ac:dyDescent="0.3"/>
    <row r="65" spans="2:15" s="27" customFormat="1" x14ac:dyDescent="0.3"/>
    <row r="66" spans="2:15" s="27" customFormat="1" x14ac:dyDescent="0.3"/>
    <row r="67" spans="2:15" s="27" customFormat="1" x14ac:dyDescent="0.3"/>
    <row r="68" spans="2:15" s="27" customFormat="1" x14ac:dyDescent="0.3"/>
    <row r="69" spans="2:15" s="27" customFormat="1" x14ac:dyDescent="0.3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</row>
    <row r="70" spans="2:15" s="27" customFormat="1" x14ac:dyDescent="0.3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</row>
  </sheetData>
  <mergeCells count="13">
    <mergeCell ref="B3:E3"/>
    <mergeCell ref="G3:J3"/>
    <mergeCell ref="B20:O20"/>
    <mergeCell ref="H31:J31"/>
    <mergeCell ref="L30:N30"/>
    <mergeCell ref="C22:E22"/>
    <mergeCell ref="H22:J22"/>
    <mergeCell ref="L22:N22"/>
    <mergeCell ref="P49:R49"/>
    <mergeCell ref="B47:S47"/>
    <mergeCell ref="H49:J49"/>
    <mergeCell ref="L49:N49"/>
    <mergeCell ref="C49:E49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68735B4-FFB5-4A9E-8637-2F4856DBC9CC}">
          <x14:formula1>
            <xm:f>'Drop down'!$B$12:$B$14</xm:f>
          </x14:formula1>
          <xm:sqref>D51</xm:sqref>
        </x14:dataValidation>
        <x14:dataValidation type="list" allowBlank="1" showInputMessage="1" showErrorMessage="1" xr:uid="{D18A4B2D-3111-48FA-9943-2F766DA498F5}">
          <x14:formula1>
            <xm:f>'Drop down'!$B$17:$B$19</xm:f>
          </x14:formula1>
          <xm:sqref>D32</xm:sqref>
        </x14:dataValidation>
        <x14:dataValidation type="list" allowBlank="1" showInputMessage="1" showErrorMessage="1" xr:uid="{C7DF5C0C-1C3A-42D8-941A-797F9A5DB37A}">
          <x14:formula1>
            <xm:f>'Drop down'!$I$5:$I$7</xm:f>
          </x14:formula1>
          <xm:sqref>I6</xm:sqref>
        </x14:dataValidation>
        <x14:dataValidation type="list" allowBlank="1" showInputMessage="1" showErrorMessage="1" xr:uid="{CD7D2C12-4D54-405E-937C-31B9866228D1}">
          <x14:formula1>
            <xm:f>'Drop down'!$I$10:$I$11</xm:f>
          </x14:formula1>
          <xm:sqref>I7</xm:sqref>
        </x14:dataValidation>
        <x14:dataValidation type="list" allowBlank="1" showInputMessage="1" showErrorMessage="1" xr:uid="{4C4D934B-5954-444A-A4C0-B94C8D59574E}">
          <x14:formula1>
            <xm:f>'Drop down'!$B$23:$B$24</xm:f>
          </x14:formula1>
          <xm:sqref>I24 M24</xm:sqref>
        </x14:dataValidation>
        <x14:dataValidation type="list" allowBlank="1" showInputMessage="1" showErrorMessage="1" xr:uid="{AE9EBE4C-6240-4DE2-A370-2A5CCE5CC251}">
          <x14:formula1>
            <xm:f>'Drop down'!$B$12:$B$13</xm:f>
          </x14:formula1>
          <xm:sqref>I50 M50</xm:sqref>
        </x14:dataValidation>
        <x14:dataValidation type="list" allowBlank="1" showInputMessage="1" showErrorMessage="1" xr:uid="{23031C63-CC7D-436C-83FA-670A5B08CDD7}">
          <x14:formula1>
            <xm:f>'Drop down'!$I$15:$I$16</xm:f>
          </x14:formula1>
          <xm:sqref>D17</xm:sqref>
        </x14:dataValidation>
        <x14:dataValidation type="list" allowBlank="1" showInputMessage="1" showErrorMessage="1" xr:uid="{4420CDDD-486E-49B4-91AB-BD51CBE960FE}">
          <x14:formula1>
            <xm:f>'Drop down'!$B$17:$B$20</xm:f>
          </x14:formula1>
          <xm:sqref>I27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6EFC-C7D2-4042-961D-0867141FF08C}">
  <dimension ref="A1"/>
  <sheetViews>
    <sheetView topLeftCell="A13" zoomScaleNormal="100" workbookViewId="0">
      <selection activeCell="J36" sqref="J36"/>
    </sheetView>
  </sheetViews>
  <sheetFormatPr defaultColWidth="8.88671875" defaultRowHeight="14.4" x14ac:dyDescent="0.3"/>
  <cols>
    <col min="1" max="16384" width="8.88671875" style="23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51B9-7836-448E-A643-9875AFE37E00}">
  <dimension ref="B2:L47"/>
  <sheetViews>
    <sheetView topLeftCell="A27" workbookViewId="0">
      <selection activeCell="B39" sqref="B39:L44"/>
    </sheetView>
  </sheetViews>
  <sheetFormatPr defaultRowHeight="14.4" x14ac:dyDescent="0.3"/>
  <cols>
    <col min="2" max="2" width="35.33203125" bestFit="1" customWidth="1"/>
    <col min="3" max="3" width="16" customWidth="1"/>
    <col min="4" max="4" width="9.6640625" bestFit="1" customWidth="1"/>
    <col min="5" max="5" width="9.6640625" customWidth="1"/>
    <col min="6" max="6" width="35.33203125" bestFit="1" customWidth="1"/>
    <col min="7" max="7" width="12.44140625" bestFit="1" customWidth="1"/>
    <col min="10" max="10" width="32.88671875" bestFit="1" customWidth="1"/>
    <col min="11" max="11" width="12.44140625" bestFit="1" customWidth="1"/>
  </cols>
  <sheetData>
    <row r="2" spans="2:12" ht="17.399999999999999" x14ac:dyDescent="0.35">
      <c r="B2" s="86" t="s">
        <v>233</v>
      </c>
      <c r="F2" s="86" t="s">
        <v>234</v>
      </c>
      <c r="G2" s="86"/>
      <c r="H2" s="86"/>
      <c r="I2" s="86"/>
      <c r="J2" s="86" t="s">
        <v>119</v>
      </c>
    </row>
    <row r="3" spans="2:12" x14ac:dyDescent="0.3">
      <c r="B3" s="5" t="s">
        <v>63</v>
      </c>
      <c r="C3" s="6" t="s">
        <v>64</v>
      </c>
      <c r="D3" s="6" t="s">
        <v>65</v>
      </c>
      <c r="E3" s="6"/>
      <c r="F3" s="5" t="s">
        <v>63</v>
      </c>
      <c r="G3" s="6" t="s">
        <v>64</v>
      </c>
      <c r="H3" s="6" t="s">
        <v>65</v>
      </c>
      <c r="K3" s="6" t="s">
        <v>64</v>
      </c>
      <c r="L3" s="6" t="s">
        <v>65</v>
      </c>
    </row>
    <row r="4" spans="2:12" x14ac:dyDescent="0.3">
      <c r="B4" s="6" t="s">
        <v>66</v>
      </c>
      <c r="C4" s="10">
        <v>3</v>
      </c>
      <c r="D4" s="6" t="s">
        <v>8</v>
      </c>
      <c r="E4" s="6"/>
      <c r="F4" s="6" t="s">
        <v>66</v>
      </c>
      <c r="G4" s="10">
        <v>7</v>
      </c>
      <c r="H4" s="6" t="s">
        <v>8</v>
      </c>
      <c r="J4" s="6" t="s">
        <v>67</v>
      </c>
      <c r="K4" s="10">
        <f>'Inputs Residential &amp; Mixed-Use'!D23</f>
        <v>0</v>
      </c>
      <c r="L4" s="6" t="s">
        <v>8</v>
      </c>
    </row>
    <row r="5" spans="2:12" x14ac:dyDescent="0.3">
      <c r="B5" s="6" t="s">
        <v>68</v>
      </c>
      <c r="C5" s="10">
        <f>'Inputs Residential &amp; Mixed-Use'!I6</f>
        <v>0</v>
      </c>
      <c r="D5" s="6" t="s">
        <v>69</v>
      </c>
      <c r="E5" s="6"/>
      <c r="F5" s="6" t="s">
        <v>68</v>
      </c>
      <c r="G5" s="10">
        <f>'Inputs Residential &amp; Mixed-Use'!I6</f>
        <v>0</v>
      </c>
      <c r="H5" s="6" t="s">
        <v>69</v>
      </c>
      <c r="J5" s="6" t="s">
        <v>58</v>
      </c>
      <c r="K5" s="10">
        <f>'Inputs Residential &amp; Mixed-Use'!I6</f>
        <v>0</v>
      </c>
      <c r="L5" s="6" t="s">
        <v>69</v>
      </c>
    </row>
    <row r="6" spans="2:12" x14ac:dyDescent="0.3">
      <c r="B6" s="6" t="s">
        <v>70</v>
      </c>
      <c r="C6" s="10" t="e">
        <f>VLOOKUP('Inputs Residential &amp; Mixed-Use'!I6,Table11[#All],MATCH(C4,'Drop down'!I3:M3,0),FALSE)</f>
        <v>#N/A</v>
      </c>
      <c r="D6" s="6" t="s">
        <v>49</v>
      </c>
      <c r="E6" s="6"/>
      <c r="F6" s="6" t="s">
        <v>70</v>
      </c>
      <c r="G6" s="10" t="e">
        <f>VLOOKUP('Inputs Residential &amp; Mixed-Use'!I6,Table11[#All],MATCH(G4,'Drop down'!I3:M3,0),FALSE)</f>
        <v>#N/A</v>
      </c>
      <c r="H6" s="6" t="s">
        <v>49</v>
      </c>
      <c r="J6" s="6" t="s">
        <v>106</v>
      </c>
      <c r="K6" s="10">
        <f>'Inputs Residential &amp; Mixed-Use'!D24</f>
        <v>0</v>
      </c>
      <c r="L6" s="6" t="s">
        <v>49</v>
      </c>
    </row>
    <row r="7" spans="2:12" x14ac:dyDescent="0.3">
      <c r="B7" s="6"/>
      <c r="D7" s="6"/>
      <c r="E7" s="6"/>
      <c r="F7" s="6"/>
      <c r="H7" s="6"/>
      <c r="J7" s="6" t="s">
        <v>107</v>
      </c>
      <c r="K7" s="11">
        <f>'Inputs Residential &amp; Mixed-Use'!D25</f>
        <v>0</v>
      </c>
      <c r="L7" s="6" t="s">
        <v>49</v>
      </c>
    </row>
    <row r="9" spans="2:12" x14ac:dyDescent="0.3">
      <c r="B9" s="6" t="s">
        <v>72</v>
      </c>
      <c r="C9" s="13">
        <v>3.1</v>
      </c>
      <c r="D9" s="6" t="s">
        <v>13</v>
      </c>
      <c r="E9" s="6"/>
      <c r="F9" s="6" t="s">
        <v>72</v>
      </c>
      <c r="G9" s="13">
        <v>3.1</v>
      </c>
      <c r="H9" s="6" t="s">
        <v>13</v>
      </c>
      <c r="J9" s="6" t="s">
        <v>104</v>
      </c>
      <c r="K9" s="12">
        <f>'Inputs Residential &amp; Mixed-Use'!D28</f>
        <v>3.1</v>
      </c>
      <c r="L9" s="6" t="s">
        <v>13</v>
      </c>
    </row>
    <row r="10" spans="2:12" x14ac:dyDescent="0.3">
      <c r="B10" s="6"/>
      <c r="D10" s="6"/>
      <c r="E10" s="6"/>
      <c r="F10" s="6"/>
      <c r="H10" s="6"/>
      <c r="J10" s="6" t="s">
        <v>105</v>
      </c>
      <c r="K10" s="12">
        <f>'Inputs Residential &amp; Mixed-Use'!D29</f>
        <v>3.1</v>
      </c>
      <c r="L10" s="6" t="s">
        <v>13</v>
      </c>
    </row>
    <row r="12" spans="2:12" x14ac:dyDescent="0.3">
      <c r="B12" s="7" t="s">
        <v>73</v>
      </c>
      <c r="C12" s="14" t="e">
        <f>((C6*0.2777777778)*'Inputs Residential &amp; Mixed-Use'!D7*'Inputs Residential &amp; Mixed-Use'!D6)/C9</f>
        <v>#N/A</v>
      </c>
      <c r="D12" s="7" t="s">
        <v>71</v>
      </c>
      <c r="E12" s="7"/>
      <c r="F12" s="7" t="s">
        <v>73</v>
      </c>
      <c r="G12" s="14" t="e">
        <f>((G6*0.2777777778)*'Inputs Residential &amp; Mixed-Use'!D7*'Inputs Residential &amp; Mixed-Use'!D6)/G9</f>
        <v>#N/A</v>
      </c>
      <c r="H12" s="7" t="s">
        <v>71</v>
      </c>
      <c r="I12" s="8"/>
      <c r="J12" s="7" t="s">
        <v>74</v>
      </c>
      <c r="K12" s="14">
        <f>(((K6*0.2777777778)*'Inputs Residential &amp; Mixed-Use'!D7*'Inputs Residential &amp; Mixed-Use'!D6)/K9)+(((K7*0.2777777778)*'Inputs Residential &amp; Mixed-Use'!D7*'Inputs Residential &amp; Mixed-Use'!D6)/K10)</f>
        <v>0</v>
      </c>
      <c r="L12" s="7" t="s">
        <v>71</v>
      </c>
    </row>
    <row r="14" spans="2:12" x14ac:dyDescent="0.3">
      <c r="B14" s="5" t="s">
        <v>75</v>
      </c>
      <c r="C14" s="6" t="s">
        <v>64</v>
      </c>
      <c r="D14" s="6" t="s">
        <v>65</v>
      </c>
      <c r="E14" s="6"/>
      <c r="F14" s="5" t="s">
        <v>75</v>
      </c>
      <c r="G14" s="6" t="s">
        <v>64</v>
      </c>
      <c r="H14" s="6" t="s">
        <v>65</v>
      </c>
      <c r="K14" s="6" t="s">
        <v>64</v>
      </c>
      <c r="L14" s="6" t="s">
        <v>65</v>
      </c>
    </row>
    <row r="15" spans="2:12" x14ac:dyDescent="0.3">
      <c r="B15" s="6" t="s">
        <v>109</v>
      </c>
      <c r="C15" s="10">
        <v>5</v>
      </c>
      <c r="D15" s="6" t="s">
        <v>76</v>
      </c>
      <c r="E15" s="6"/>
      <c r="F15" s="6" t="s">
        <v>109</v>
      </c>
      <c r="G15" s="10">
        <v>5</v>
      </c>
      <c r="H15" s="6" t="s">
        <v>76</v>
      </c>
      <c r="J15" s="6" t="s">
        <v>77</v>
      </c>
      <c r="K15" s="10">
        <f>IF('Inputs Residential &amp; Mixed-Use'!D31="Y",'Calculations Residential'!G15*0.8,'Calculations Residential'!G15)</f>
        <v>5</v>
      </c>
      <c r="L15" s="6" t="s">
        <v>76</v>
      </c>
    </row>
    <row r="16" spans="2:12" x14ac:dyDescent="0.3">
      <c r="B16" s="6" t="s">
        <v>78</v>
      </c>
      <c r="C16" s="10">
        <v>8</v>
      </c>
      <c r="D16" s="6" t="s">
        <v>79</v>
      </c>
      <c r="E16" s="6"/>
      <c r="F16" s="6" t="s">
        <v>78</v>
      </c>
      <c r="G16" s="10">
        <v>8</v>
      </c>
      <c r="H16" s="6" t="s">
        <v>79</v>
      </c>
      <c r="J16" s="6" t="s">
        <v>78</v>
      </c>
      <c r="K16" s="10">
        <v>8</v>
      </c>
      <c r="L16" s="6" t="s">
        <v>79</v>
      </c>
    </row>
    <row r="18" spans="2:12" x14ac:dyDescent="0.3">
      <c r="B18" s="7" t="s">
        <v>80</v>
      </c>
      <c r="C18" s="14">
        <f>(C15/1000)*C16*365*'Inputs Residential &amp; Mixed-Use'!D7*'Inputs Residential &amp; Mixed-Use'!D6</f>
        <v>0</v>
      </c>
      <c r="D18" s="7" t="s">
        <v>71</v>
      </c>
      <c r="E18" s="7"/>
      <c r="F18" s="7" t="s">
        <v>80</v>
      </c>
      <c r="G18" s="14">
        <f>(G15/1000)*G16*365*'Inputs Residential &amp; Mixed-Use'!D7*'Inputs Residential &amp; Mixed-Use'!D6</f>
        <v>0</v>
      </c>
      <c r="H18" s="7" t="s">
        <v>71</v>
      </c>
      <c r="I18" s="8"/>
      <c r="J18" s="7" t="s">
        <v>81</v>
      </c>
      <c r="K18" s="14">
        <f>(K15/1000)*K16*365*'Inputs Residential &amp; Mixed-Use'!D7*'Inputs Residential &amp; Mixed-Use'!D6</f>
        <v>0</v>
      </c>
      <c r="L18" s="7" t="s">
        <v>71</v>
      </c>
    </row>
    <row r="20" spans="2:12" x14ac:dyDescent="0.3">
      <c r="B20" s="9" t="s">
        <v>82</v>
      </c>
      <c r="C20" s="6" t="s">
        <v>64</v>
      </c>
      <c r="D20" s="6" t="s">
        <v>65</v>
      </c>
      <c r="E20" s="6"/>
      <c r="F20" s="9" t="s">
        <v>82</v>
      </c>
      <c r="G20" s="6" t="s">
        <v>64</v>
      </c>
      <c r="H20" s="6" t="s">
        <v>65</v>
      </c>
      <c r="K20" s="6" t="s">
        <v>64</v>
      </c>
      <c r="L20" s="6" t="s">
        <v>65</v>
      </c>
    </row>
    <row r="21" spans="2:12" x14ac:dyDescent="0.3">
      <c r="B21" s="6" t="s">
        <v>83</v>
      </c>
      <c r="C21" s="10">
        <v>5</v>
      </c>
      <c r="D21" s="6" t="s">
        <v>76</v>
      </c>
      <c r="E21" s="6"/>
      <c r="F21" s="6" t="s">
        <v>83</v>
      </c>
      <c r="G21" s="10">
        <v>5</v>
      </c>
      <c r="H21" s="6" t="s">
        <v>76</v>
      </c>
      <c r="J21" s="6" t="s">
        <v>84</v>
      </c>
      <c r="K21" s="10">
        <f>G21*(1-('Inputs Residential &amp; Mixed-Use'!D30/100))</f>
        <v>4</v>
      </c>
      <c r="L21" s="6" t="s">
        <v>76</v>
      </c>
    </row>
    <row r="22" spans="2:12" x14ac:dyDescent="0.3">
      <c r="B22" s="6" t="s">
        <v>85</v>
      </c>
      <c r="C22" s="10">
        <v>10.199999999999999</v>
      </c>
      <c r="D22" s="6" t="s">
        <v>79</v>
      </c>
      <c r="E22" s="6"/>
      <c r="F22" s="6" t="s">
        <v>85</v>
      </c>
      <c r="G22" s="10">
        <v>10.199999999999999</v>
      </c>
      <c r="H22" s="6" t="s">
        <v>79</v>
      </c>
      <c r="J22" s="6" t="s">
        <v>85</v>
      </c>
      <c r="K22" s="10">
        <v>10.199999999999999</v>
      </c>
      <c r="L22" s="6" t="s">
        <v>79</v>
      </c>
    </row>
    <row r="23" spans="2:12" x14ac:dyDescent="0.3">
      <c r="B23" s="6" t="s">
        <v>86</v>
      </c>
      <c r="C23" s="10">
        <v>6.2</v>
      </c>
      <c r="D23" s="6" t="s">
        <v>79</v>
      </c>
      <c r="E23" s="6"/>
      <c r="F23" s="6" t="s">
        <v>86</v>
      </c>
      <c r="G23" s="10">
        <v>6.2</v>
      </c>
      <c r="H23" s="6" t="s">
        <v>79</v>
      </c>
      <c r="J23" s="6" t="s">
        <v>86</v>
      </c>
      <c r="K23" s="10">
        <v>6.2</v>
      </c>
      <c r="L23" s="6" t="s">
        <v>79</v>
      </c>
    </row>
    <row r="25" spans="2:12" x14ac:dyDescent="0.3">
      <c r="B25" s="7" t="s">
        <v>87</v>
      </c>
      <c r="C25" s="14">
        <f>((C21/1000)*C22*'Inputs Residential &amp; Mixed-Use'!D6*('Inputs Residential &amp; Mixed-Use'!D7*0.7)*365)+((C21/1000)*C23*'Inputs Residential &amp; Mixed-Use'!D6*('Inputs Residential &amp; Mixed-Use'!D7*0.3)*365)</f>
        <v>0</v>
      </c>
      <c r="D25" s="7" t="s">
        <v>71</v>
      </c>
      <c r="E25" s="7"/>
      <c r="F25" s="7" t="s">
        <v>87</v>
      </c>
      <c r="G25" s="14">
        <f>((G21/1000)*G22*'Inputs Residential &amp; Mixed-Use'!D6*('Inputs Residential &amp; Mixed-Use'!D7*0.7)*365)+((G21/1000)*G23*'Inputs Residential &amp; Mixed-Use'!D6*('Inputs Residential &amp; Mixed-Use'!D7*0.3)*365)</f>
        <v>0</v>
      </c>
      <c r="H25" s="7" t="s">
        <v>71</v>
      </c>
      <c r="I25" s="8"/>
      <c r="J25" s="8" t="s">
        <v>88</v>
      </c>
      <c r="K25" s="14">
        <f>((K21/1000)*K22*'Inputs Residential &amp; Mixed-Use'!D6*('Inputs Residential &amp; Mixed-Use'!D7*0.7)*365)+((K21/1000)*K23*'Inputs Residential &amp; Mixed-Use'!D6*('Inputs Residential &amp; Mixed-Use'!D7*0.3)*365)</f>
        <v>0</v>
      </c>
      <c r="L25" s="7" t="s">
        <v>71</v>
      </c>
    </row>
    <row r="27" spans="2:12" x14ac:dyDescent="0.3">
      <c r="B27" s="9" t="s">
        <v>89</v>
      </c>
      <c r="C27" s="6" t="s">
        <v>64</v>
      </c>
      <c r="D27" s="6" t="s">
        <v>65</v>
      </c>
      <c r="E27" s="6"/>
      <c r="F27" s="9" t="s">
        <v>89</v>
      </c>
      <c r="G27" s="6" t="s">
        <v>64</v>
      </c>
      <c r="H27" s="6" t="s">
        <v>65</v>
      </c>
      <c r="K27" s="6" t="s">
        <v>64</v>
      </c>
      <c r="L27" s="6" t="s">
        <v>65</v>
      </c>
    </row>
    <row r="28" spans="2:12" x14ac:dyDescent="0.3">
      <c r="B28" s="6" t="s">
        <v>90</v>
      </c>
      <c r="C28" s="10">
        <f>'Inputs Residential &amp; Mixed-Use'!D50*60*365*1.25</f>
        <v>0</v>
      </c>
      <c r="D28" s="6" t="s">
        <v>91</v>
      </c>
      <c r="E28" s="6"/>
      <c r="F28" s="6" t="s">
        <v>90</v>
      </c>
      <c r="G28" s="10">
        <f>'Inputs Residential &amp; Mixed-Use'!D50*60*365</f>
        <v>0</v>
      </c>
      <c r="H28" s="6" t="s">
        <v>91</v>
      </c>
      <c r="J28" s="6" t="s">
        <v>92</v>
      </c>
      <c r="K28" s="10">
        <f>G28*(1-('Inputs Residential &amp; Mixed-Use'!D53/100))</f>
        <v>0</v>
      </c>
      <c r="L28" s="6" t="s">
        <v>91</v>
      </c>
    </row>
    <row r="29" spans="2:12" x14ac:dyDescent="0.3">
      <c r="B29" s="6" t="s">
        <v>93</v>
      </c>
      <c r="C29" s="10">
        <v>15</v>
      </c>
      <c r="D29" s="6" t="s">
        <v>94</v>
      </c>
      <c r="E29" s="6"/>
      <c r="F29" s="6" t="s">
        <v>93</v>
      </c>
      <c r="G29" s="10">
        <v>15</v>
      </c>
      <c r="H29" s="6" t="s">
        <v>94</v>
      </c>
      <c r="J29" s="6" t="s">
        <v>93</v>
      </c>
      <c r="K29" s="10">
        <v>15</v>
      </c>
      <c r="L29" s="6" t="s">
        <v>94</v>
      </c>
    </row>
    <row r="30" spans="2:12" x14ac:dyDescent="0.3">
      <c r="B30" s="6" t="s">
        <v>95</v>
      </c>
      <c r="C30" s="10">
        <v>60</v>
      </c>
      <c r="D30" s="6" t="s">
        <v>94</v>
      </c>
      <c r="E30" s="6"/>
      <c r="F30" s="6" t="s">
        <v>95</v>
      </c>
      <c r="G30" s="10">
        <v>60</v>
      </c>
      <c r="H30" s="6" t="s">
        <v>94</v>
      </c>
      <c r="J30" s="6" t="s">
        <v>95</v>
      </c>
      <c r="K30" s="10">
        <v>60</v>
      </c>
      <c r="L30" s="6" t="s">
        <v>94</v>
      </c>
    </row>
    <row r="31" spans="2:12" x14ac:dyDescent="0.3">
      <c r="B31" s="6" t="s">
        <v>96</v>
      </c>
      <c r="C31" s="10">
        <v>4.1859999999999996E-3</v>
      </c>
      <c r="D31" s="6" t="s">
        <v>97</v>
      </c>
      <c r="E31" s="6"/>
      <c r="F31" s="6" t="s">
        <v>96</v>
      </c>
      <c r="G31" s="10">
        <v>4.1859999999999996E-3</v>
      </c>
      <c r="H31" s="6" t="s">
        <v>97</v>
      </c>
      <c r="J31" s="6" t="s">
        <v>96</v>
      </c>
      <c r="K31" s="10">
        <v>4.1859999999999996E-3</v>
      </c>
      <c r="L31" s="6" t="s">
        <v>97</v>
      </c>
    </row>
    <row r="32" spans="2:12" x14ac:dyDescent="0.3">
      <c r="B32" s="6" t="s">
        <v>98</v>
      </c>
      <c r="C32" s="10">
        <f>(C28*C31*(C30-C29))</f>
        <v>0</v>
      </c>
      <c r="D32" s="6" t="s">
        <v>201</v>
      </c>
      <c r="E32" s="6"/>
      <c r="F32" s="6" t="s">
        <v>98</v>
      </c>
      <c r="G32" s="10">
        <f>(G28*G31*(G30-G29))/3.6</f>
        <v>0</v>
      </c>
      <c r="H32" s="6" t="s">
        <v>71</v>
      </c>
      <c r="J32" s="6" t="s">
        <v>99</v>
      </c>
      <c r="K32" s="10">
        <f>(K28*K31*(K30-K29))/3.6</f>
        <v>0</v>
      </c>
      <c r="L32" s="6" t="s">
        <v>71</v>
      </c>
    </row>
    <row r="33" spans="2:12" x14ac:dyDescent="0.3">
      <c r="B33" s="6"/>
      <c r="D33" s="6"/>
      <c r="E33" s="6"/>
      <c r="F33" s="6"/>
      <c r="H33" s="6"/>
      <c r="J33" s="6"/>
      <c r="L33" s="6"/>
    </row>
    <row r="34" spans="2:12" x14ac:dyDescent="0.3">
      <c r="B34" s="6" t="s">
        <v>100</v>
      </c>
      <c r="C34" s="10">
        <v>0.6</v>
      </c>
      <c r="D34" s="6" t="s">
        <v>13</v>
      </c>
      <c r="E34" s="6"/>
      <c r="F34" s="6" t="s">
        <v>100</v>
      </c>
      <c r="G34" s="10">
        <v>1</v>
      </c>
      <c r="H34" s="6" t="s">
        <v>13</v>
      </c>
      <c r="J34" t="s">
        <v>101</v>
      </c>
      <c r="K34" s="10" t="e">
        <f>'Inputs Residential &amp; Mixed-Use'!D52</f>
        <v>#N/A</v>
      </c>
      <c r="L34" s="6" t="s">
        <v>13</v>
      </c>
    </row>
    <row r="35" spans="2:12" x14ac:dyDescent="0.3">
      <c r="B35" s="6"/>
      <c r="C35" s="88"/>
      <c r="D35" s="6"/>
      <c r="E35" s="6"/>
      <c r="F35" s="6"/>
      <c r="G35" s="88"/>
      <c r="H35" s="6"/>
      <c r="J35" s="6" t="s">
        <v>224</v>
      </c>
      <c r="K35" s="87">
        <v>0.1</v>
      </c>
      <c r="L35" s="6"/>
    </row>
    <row r="37" spans="2:12" x14ac:dyDescent="0.3">
      <c r="B37" s="7" t="s">
        <v>102</v>
      </c>
      <c r="C37" s="14">
        <f>C32/C34</f>
        <v>0</v>
      </c>
      <c r="D37" s="7" t="s">
        <v>201</v>
      </c>
      <c r="E37" s="7"/>
      <c r="F37" s="7" t="s">
        <v>102</v>
      </c>
      <c r="G37" s="14">
        <f>G32/G34</f>
        <v>0</v>
      </c>
      <c r="H37" s="7" t="s">
        <v>71</v>
      </c>
      <c r="I37" s="8"/>
      <c r="J37" s="7" t="s">
        <v>103</v>
      </c>
      <c r="K37" s="14" t="e">
        <f>IF('Inputs Residential &amp; Mixed-Use'!D51="Heat pump",(K32/K34)*(1+K35),(K32/K34))</f>
        <v>#N/A</v>
      </c>
      <c r="L37" s="7" t="s">
        <v>71</v>
      </c>
    </row>
    <row r="39" spans="2:12" x14ac:dyDescent="0.3">
      <c r="B39" s="9" t="s">
        <v>108</v>
      </c>
      <c r="C39" t="s">
        <v>64</v>
      </c>
      <c r="D39" t="s">
        <v>65</v>
      </c>
      <c r="F39" s="9" t="s">
        <v>108</v>
      </c>
      <c r="G39" t="s">
        <v>64</v>
      </c>
      <c r="H39" t="s">
        <v>65</v>
      </c>
    </row>
    <row r="40" spans="2:12" x14ac:dyDescent="0.3">
      <c r="B40" s="6" t="s">
        <v>188</v>
      </c>
      <c r="C40" t="s">
        <v>45</v>
      </c>
      <c r="F40" s="6" t="s">
        <v>188</v>
      </c>
      <c r="G40" t="s">
        <v>189</v>
      </c>
      <c r="J40" t="s">
        <v>188</v>
      </c>
      <c r="K40" t="str">
        <f>IF('Inputs Residential &amp; Mixed-Use'!D32="Gas","Gas","Electric")</f>
        <v>Electric</v>
      </c>
    </row>
    <row r="41" spans="2:12" x14ac:dyDescent="0.3">
      <c r="B41" t="s">
        <v>111</v>
      </c>
      <c r="C41" s="10">
        <v>6</v>
      </c>
      <c r="D41" t="s">
        <v>54</v>
      </c>
      <c r="F41" t="s">
        <v>111</v>
      </c>
      <c r="G41" s="10">
        <f>'Drop down'!C18</f>
        <v>0.38500000000000001</v>
      </c>
      <c r="H41" t="s">
        <v>47</v>
      </c>
      <c r="J41" t="s">
        <v>110</v>
      </c>
      <c r="K41" s="10">
        <f>VLOOKUP('Inputs Residential &amp; Mixed-Use'!D32,Table10[#All],2,FALSE)</f>
        <v>0.35</v>
      </c>
      <c r="L41" t="str">
        <f>IF(K40="Gas", "MJ/yr", "kWh/yr")</f>
        <v>kWh/yr</v>
      </c>
    </row>
    <row r="42" spans="2:12" x14ac:dyDescent="0.3">
      <c r="B42" t="s">
        <v>78</v>
      </c>
      <c r="C42" s="10">
        <v>1.5</v>
      </c>
      <c r="D42" t="s">
        <v>112</v>
      </c>
      <c r="F42" t="s">
        <v>78</v>
      </c>
      <c r="G42" s="10">
        <v>1.5</v>
      </c>
      <c r="H42" t="s">
        <v>112</v>
      </c>
      <c r="J42" t="s">
        <v>78</v>
      </c>
      <c r="K42" s="10">
        <v>1.5</v>
      </c>
      <c r="L42" t="s">
        <v>112</v>
      </c>
    </row>
    <row r="44" spans="2:12" x14ac:dyDescent="0.3">
      <c r="B44" s="8" t="s">
        <v>113</v>
      </c>
      <c r="C44" s="14">
        <f>C41*C42*365*'Inputs Residential &amp; Mixed-Use'!D6</f>
        <v>0</v>
      </c>
      <c r="D44" s="8" t="s">
        <v>201</v>
      </c>
      <c r="E44" s="8"/>
      <c r="F44" s="8" t="s">
        <v>113</v>
      </c>
      <c r="G44" s="14">
        <f>G41*G42*365*'Inputs Residential &amp; Mixed-Use'!D6</f>
        <v>0</v>
      </c>
      <c r="H44" s="8" t="s">
        <v>71</v>
      </c>
      <c r="I44" s="8"/>
      <c r="J44" s="8" t="s">
        <v>114</v>
      </c>
      <c r="K44" s="14">
        <f>IF(K40="Electric",(K41*K42*365*'Inputs Residential &amp; Mixed-Use'!D6),(K41*K42*'Inputs Residential &amp; Mixed-Use'!D6*365))</f>
        <v>0</v>
      </c>
      <c r="L44" s="8" t="str">
        <f>IF(K40="Gas", "MJ/yr", "kWh/yr")</f>
        <v>kWh/yr</v>
      </c>
    </row>
    <row r="46" spans="2:12" x14ac:dyDescent="0.3">
      <c r="B46" s="9" t="s">
        <v>116</v>
      </c>
      <c r="F46" s="9" t="s">
        <v>116</v>
      </c>
    </row>
    <row r="47" spans="2:12" x14ac:dyDescent="0.3">
      <c r="B47" s="8" t="s">
        <v>117</v>
      </c>
      <c r="C47" s="14">
        <f>G47</f>
        <v>0</v>
      </c>
      <c r="D47" s="8" t="s">
        <v>71</v>
      </c>
      <c r="E47" s="8"/>
      <c r="F47" s="8" t="s">
        <v>117</v>
      </c>
      <c r="G47" s="14">
        <f>'Inputs Residential &amp; Mixed-Use'!D33</f>
        <v>0</v>
      </c>
      <c r="H47" s="8" t="s">
        <v>71</v>
      </c>
      <c r="I47" s="8"/>
      <c r="J47" s="8" t="s">
        <v>24</v>
      </c>
      <c r="K47" s="14">
        <f>'Inputs Residential &amp; Mixed-Use'!D34</f>
        <v>0</v>
      </c>
      <c r="L47" s="8" t="s">
        <v>71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3289-C83F-4482-8B26-9A879D6E09A4}">
  <dimension ref="B2:H46"/>
  <sheetViews>
    <sheetView workbookViewId="0">
      <selection activeCell="G18" sqref="G18"/>
    </sheetView>
  </sheetViews>
  <sheetFormatPr defaultRowHeight="14.4" x14ac:dyDescent="0.3"/>
  <cols>
    <col min="2" max="2" width="35.33203125" bestFit="1" customWidth="1"/>
    <col min="3" max="3" width="12.44140625" bestFit="1" customWidth="1"/>
    <col min="6" max="6" width="32.88671875" bestFit="1" customWidth="1"/>
    <col min="7" max="7" width="12.44140625" bestFit="1" customWidth="1"/>
  </cols>
  <sheetData>
    <row r="2" spans="2:8" ht="17.399999999999999" x14ac:dyDescent="0.35">
      <c r="B2" s="89" t="s">
        <v>118</v>
      </c>
      <c r="C2" s="89"/>
      <c r="D2" s="89"/>
      <c r="E2" s="89"/>
      <c r="F2" s="89" t="s">
        <v>119</v>
      </c>
    </row>
    <row r="3" spans="2:8" ht="27" x14ac:dyDescent="0.3">
      <c r="B3" s="5" t="s">
        <v>200</v>
      </c>
      <c r="C3" s="6" t="s">
        <v>64</v>
      </c>
      <c r="D3" s="6" t="s">
        <v>65</v>
      </c>
      <c r="G3" s="6" t="s">
        <v>64</v>
      </c>
      <c r="H3" s="6" t="s">
        <v>65</v>
      </c>
    </row>
    <row r="4" spans="2:8" x14ac:dyDescent="0.3">
      <c r="B4" s="6" t="s">
        <v>68</v>
      </c>
      <c r="C4" s="10">
        <f>'Inputs Residential &amp; Mixed-Use'!I7</f>
        <v>0</v>
      </c>
      <c r="D4" s="6" t="s">
        <v>69</v>
      </c>
      <c r="F4" s="6" t="s">
        <v>58</v>
      </c>
      <c r="G4" s="10">
        <f>'Inputs Residential &amp; Mixed-Use'!I7</f>
        <v>0</v>
      </c>
      <c r="H4" s="6" t="s">
        <v>69</v>
      </c>
    </row>
    <row r="5" spans="2:8" x14ac:dyDescent="0.3">
      <c r="B5" s="6" t="s">
        <v>70</v>
      </c>
      <c r="C5" s="10" t="e">
        <f>VLOOKUP(C4,Table12[#All],2,FALSE)</f>
        <v>#N/A</v>
      </c>
      <c r="D5" s="6" t="s">
        <v>132</v>
      </c>
      <c r="F5" s="6" t="s">
        <v>70</v>
      </c>
      <c r="G5" s="10" t="e">
        <f>VLOOKUP(C4,Table12[#All],2,FALSE)*(1-('Inputs Residential &amp; Mixed-Use'!I23/100))</f>
        <v>#N/A</v>
      </c>
      <c r="H5" s="6" t="s">
        <v>132</v>
      </c>
    </row>
    <row r="7" spans="2:8" x14ac:dyDescent="0.3">
      <c r="B7" s="6" t="s">
        <v>72</v>
      </c>
      <c r="C7" s="13">
        <v>3.1</v>
      </c>
      <c r="D7" s="6" t="s">
        <v>13</v>
      </c>
      <c r="F7" s="6" t="s">
        <v>104</v>
      </c>
      <c r="G7" s="12">
        <f>'Inputs Residential &amp; Mixed-Use'!I25</f>
        <v>3.4</v>
      </c>
      <c r="H7" s="6" t="s">
        <v>13</v>
      </c>
    </row>
    <row r="9" spans="2:8" x14ac:dyDescent="0.3">
      <c r="B9" s="7" t="s">
        <v>73</v>
      </c>
      <c r="C9" s="14" t="e">
        <f>IF(SUM('Inputs Residential &amp; Mixed-Use'!I32:I35)=0,(C5/C7)*'Inputs Residential &amp; Mixed-Use'!D8,(('Inputs Residential &amp; Mixed-Use'!I32+'Inputs Residential &amp; Mixed-Use'!I33)*'Inputs Residential &amp; Mixed-Use'!D8))</f>
        <v>#N/A</v>
      </c>
      <c r="D9" s="7" t="s">
        <v>71</v>
      </c>
      <c r="E9" s="8"/>
      <c r="F9" s="7" t="s">
        <v>74</v>
      </c>
      <c r="G9" s="14" t="e">
        <f>IF(SUM('Inputs Residential &amp; Mixed-Use'!I39:I42)=0,(G5/G7)*'Inputs Residential &amp; Mixed-Use'!D8,(('Inputs Residential &amp; Mixed-Use'!I39+'Inputs Residential &amp; Mixed-Use'!I40)*'Inputs Residential &amp; Mixed-Use'!D8))</f>
        <v>#N/A</v>
      </c>
      <c r="H9" s="7" t="s">
        <v>71</v>
      </c>
    </row>
    <row r="10" spans="2:8" x14ac:dyDescent="0.3">
      <c r="B10" s="6"/>
      <c r="C10" s="20"/>
      <c r="D10" s="6"/>
      <c r="F10" s="6"/>
      <c r="G10" s="20"/>
      <c r="H10" s="6"/>
    </row>
    <row r="11" spans="2:8" ht="27" x14ac:dyDescent="0.3">
      <c r="B11" s="5" t="s">
        <v>202</v>
      </c>
      <c r="C11" s="6" t="s">
        <v>64</v>
      </c>
      <c r="D11" s="6" t="s">
        <v>65</v>
      </c>
      <c r="G11" s="6" t="s">
        <v>64</v>
      </c>
      <c r="H11" s="6" t="s">
        <v>65</v>
      </c>
    </row>
    <row r="12" spans="2:8" x14ac:dyDescent="0.3">
      <c r="B12" s="6" t="s">
        <v>68</v>
      </c>
      <c r="C12" s="10">
        <f>'Inputs Residential &amp; Mixed-Use'!I14</f>
        <v>0</v>
      </c>
      <c r="D12" s="6" t="s">
        <v>69</v>
      </c>
      <c r="F12" s="6" t="s">
        <v>58</v>
      </c>
      <c r="G12" s="10">
        <f>'Inputs Residential &amp; Mixed-Use'!I14</f>
        <v>0</v>
      </c>
      <c r="H12" s="6" t="s">
        <v>69</v>
      </c>
    </row>
    <row r="13" spans="2:8" x14ac:dyDescent="0.3">
      <c r="B13" s="6" t="s">
        <v>70</v>
      </c>
      <c r="C13" s="10">
        <f>SUM('Inputs Residential &amp; Mixed-Use'!I34:I35)</f>
        <v>0</v>
      </c>
      <c r="D13" s="6" t="s">
        <v>49</v>
      </c>
      <c r="F13" s="6" t="s">
        <v>70</v>
      </c>
      <c r="G13" s="10">
        <f>SUM9</f>
        <v>0</v>
      </c>
      <c r="H13" s="6" t="s">
        <v>49</v>
      </c>
    </row>
    <row r="15" spans="2:8" x14ac:dyDescent="0.3">
      <c r="B15" s="6" t="s">
        <v>72</v>
      </c>
      <c r="C15" s="13">
        <v>3.1</v>
      </c>
      <c r="D15" s="6" t="s">
        <v>13</v>
      </c>
      <c r="F15" s="6" t="s">
        <v>104</v>
      </c>
      <c r="G15" s="12">
        <f>'Inputs Residential &amp; Mixed-Use'!I25</f>
        <v>3.4</v>
      </c>
      <c r="H15" s="6" t="s">
        <v>13</v>
      </c>
    </row>
    <row r="17" spans="2:8" x14ac:dyDescent="0.3">
      <c r="B17" s="7" t="s">
        <v>73</v>
      </c>
      <c r="C17" s="14">
        <f>IF(SUM('Inputs Residential &amp; Mixed-Use'!I32:I35)=0,((C13/C15)*'Inputs Residential &amp; Mixed-Use'!D8),(('Inputs Residential &amp; Mixed-Use'!I39+'Inputs Residential &amp; Mixed-Use'!I40)*'Inputs Residential &amp; Mixed-Use'!D8))</f>
        <v>0</v>
      </c>
      <c r="D17" s="7" t="s">
        <v>201</v>
      </c>
      <c r="E17" s="8"/>
      <c r="F17" s="7" t="s">
        <v>74</v>
      </c>
      <c r="G17" s="14">
        <f>IF(SUM('Inputs Residential &amp; Mixed-Use'!I39:I42)=0,((G13/G15)*'Inputs Residential &amp; Mixed-Use'!D8),(('Inputs Residential &amp; Mixed-Use'!I46+'Inputs Residential &amp; Mixed-Use'!I47)*'Inputs Residential &amp; Mixed-Use'!D8))</f>
        <v>0</v>
      </c>
      <c r="H17" s="7" t="s">
        <v>201</v>
      </c>
    </row>
    <row r="19" spans="2:8" x14ac:dyDescent="0.3">
      <c r="B19" s="1" t="s">
        <v>182</v>
      </c>
      <c r="C19" s="6"/>
      <c r="D19" s="6"/>
      <c r="G19" s="6"/>
      <c r="H19" s="6"/>
    </row>
    <row r="20" spans="2:8" x14ac:dyDescent="0.3">
      <c r="B20" s="1"/>
      <c r="C20" s="6"/>
      <c r="D20" s="6"/>
      <c r="G20" s="6"/>
      <c r="H20" s="6"/>
    </row>
    <row r="21" spans="2:8" x14ac:dyDescent="0.3">
      <c r="B21" s="7" t="s">
        <v>183</v>
      </c>
      <c r="C21" s="14">
        <f>'Inputs Residential &amp; Mixed-Use'!I36*'Inputs Residential &amp; Mixed-Use'!D8</f>
        <v>0</v>
      </c>
      <c r="D21" s="7" t="s">
        <v>71</v>
      </c>
      <c r="E21" s="8"/>
      <c r="F21" s="7" t="s">
        <v>184</v>
      </c>
      <c r="G21" s="14">
        <f>'Inputs Residential &amp; Mixed-Use'!I43*'Inputs Residential &amp; Mixed-Use'!D8</f>
        <v>0</v>
      </c>
      <c r="H21" s="7" t="s">
        <v>71</v>
      </c>
    </row>
    <row r="23" spans="2:8" x14ac:dyDescent="0.3">
      <c r="B23" s="9" t="s">
        <v>82</v>
      </c>
      <c r="C23" s="6" t="s">
        <v>64</v>
      </c>
      <c r="D23" s="6" t="s">
        <v>65</v>
      </c>
      <c r="G23" s="6" t="s">
        <v>64</v>
      </c>
      <c r="H23" s="6" t="s">
        <v>65</v>
      </c>
    </row>
    <row r="24" spans="2:8" x14ac:dyDescent="0.3">
      <c r="B24" s="6" t="s">
        <v>83</v>
      </c>
      <c r="C24" s="10">
        <v>14</v>
      </c>
      <c r="D24" s="6" t="s">
        <v>76</v>
      </c>
      <c r="F24" s="6" t="s">
        <v>84</v>
      </c>
      <c r="G24" s="10">
        <f>C24*(1-('Inputs Residential &amp; Mixed-Use'!I26/100))</f>
        <v>14</v>
      </c>
      <c r="H24" s="6" t="s">
        <v>76</v>
      </c>
    </row>
    <row r="25" spans="2:8" x14ac:dyDescent="0.3">
      <c r="B25" s="6" t="s">
        <v>133</v>
      </c>
      <c r="C25" s="10">
        <v>8</v>
      </c>
      <c r="D25" s="6" t="s">
        <v>79</v>
      </c>
      <c r="F25" s="6" t="s">
        <v>133</v>
      </c>
      <c r="G25" s="10">
        <v>8</v>
      </c>
      <c r="H25" s="6" t="s">
        <v>79</v>
      </c>
    </row>
    <row r="27" spans="2:8" x14ac:dyDescent="0.3">
      <c r="B27" s="7" t="s">
        <v>87</v>
      </c>
      <c r="C27" s="14">
        <f>IF('Inputs Residential &amp; Mixed-Use'!I37=0,((C24/1000)*C25*'Inputs Residential &amp; Mixed-Use'!D8*365),('Inputs Residential &amp; Mixed-Use'!I37*'Inputs Residential &amp; Mixed-Use'!D8))</f>
        <v>0</v>
      </c>
      <c r="D27" s="7" t="s">
        <v>71</v>
      </c>
      <c r="E27" s="8"/>
      <c r="F27" s="8" t="s">
        <v>88</v>
      </c>
      <c r="G27" s="14">
        <f>IF('Inputs Residential &amp; Mixed-Use'!I44=0,((G24/1000)*G25*'Inputs Residential &amp; Mixed-Use'!D8*365),'Inputs Residential &amp; Mixed-Use'!I44*'Inputs Residential &amp; Mixed-Use'!D8)</f>
        <v>0</v>
      </c>
      <c r="H27" s="7" t="s">
        <v>71</v>
      </c>
    </row>
    <row r="29" spans="2:8" x14ac:dyDescent="0.3">
      <c r="B29" s="9" t="s">
        <v>89</v>
      </c>
      <c r="C29" s="6" t="s">
        <v>64</v>
      </c>
      <c r="D29" s="6" t="s">
        <v>65</v>
      </c>
      <c r="G29" s="6" t="s">
        <v>64</v>
      </c>
      <c r="H29" s="6" t="s">
        <v>65</v>
      </c>
    </row>
    <row r="30" spans="2:8" x14ac:dyDescent="0.3">
      <c r="B30" s="6" t="s">
        <v>90</v>
      </c>
      <c r="C30" s="10">
        <f>('Inputs Residential &amp; Mixed-Use'!I52*0.26*20*4.5*365)</f>
        <v>0</v>
      </c>
      <c r="D30" s="6" t="s">
        <v>91</v>
      </c>
      <c r="F30" s="6" t="s">
        <v>92</v>
      </c>
      <c r="G30" s="10">
        <f>C30*(1-('Inputs Residential &amp; Mixed-Use'!I53/100))</f>
        <v>0</v>
      </c>
      <c r="H30" s="6" t="s">
        <v>91</v>
      </c>
    </row>
    <row r="31" spans="2:8" x14ac:dyDescent="0.3">
      <c r="B31" s="6" t="s">
        <v>93</v>
      </c>
      <c r="C31" s="10">
        <v>15</v>
      </c>
      <c r="D31" s="6" t="s">
        <v>94</v>
      </c>
      <c r="F31" s="6" t="s">
        <v>93</v>
      </c>
      <c r="G31" s="10">
        <v>15</v>
      </c>
      <c r="H31" s="6" t="s">
        <v>94</v>
      </c>
    </row>
    <row r="32" spans="2:8" x14ac:dyDescent="0.3">
      <c r="B32" s="6" t="s">
        <v>95</v>
      </c>
      <c r="C32" s="10">
        <v>60</v>
      </c>
      <c r="D32" s="6" t="s">
        <v>94</v>
      </c>
      <c r="F32" s="6" t="s">
        <v>95</v>
      </c>
      <c r="G32" s="10">
        <v>60</v>
      </c>
      <c r="H32" s="6" t="s">
        <v>94</v>
      </c>
    </row>
    <row r="33" spans="2:8" x14ac:dyDescent="0.3">
      <c r="B33" s="6" t="s">
        <v>96</v>
      </c>
      <c r="C33" s="10">
        <v>4.1859999999999996E-3</v>
      </c>
      <c r="D33" s="6" t="s">
        <v>97</v>
      </c>
      <c r="F33" s="6" t="s">
        <v>96</v>
      </c>
      <c r="G33" s="10">
        <v>4.1859999999999996E-3</v>
      </c>
      <c r="H33" s="6" t="s">
        <v>97</v>
      </c>
    </row>
    <row r="34" spans="2:8" x14ac:dyDescent="0.3">
      <c r="B34" s="6" t="s">
        <v>98</v>
      </c>
      <c r="C34" s="10">
        <f>(C30*C33*(C32-C31))/3.6</f>
        <v>0</v>
      </c>
      <c r="D34" s="6" t="s">
        <v>71</v>
      </c>
      <c r="F34" s="6" t="s">
        <v>99</v>
      </c>
      <c r="G34" s="10">
        <f>(G30*G33*(G32-G31))/3.6</f>
        <v>0</v>
      </c>
      <c r="H34" s="6" t="s">
        <v>71</v>
      </c>
    </row>
    <row r="35" spans="2:8" x14ac:dyDescent="0.3">
      <c r="B35" s="6"/>
      <c r="D35" s="6"/>
      <c r="F35" s="6"/>
      <c r="H35" s="6"/>
    </row>
    <row r="36" spans="2:8" x14ac:dyDescent="0.3">
      <c r="B36" s="6" t="s">
        <v>100</v>
      </c>
      <c r="C36" s="10">
        <v>1</v>
      </c>
      <c r="D36" s="6" t="s">
        <v>13</v>
      </c>
      <c r="F36" t="s">
        <v>101</v>
      </c>
      <c r="G36" s="10">
        <f>'Inputs Residential &amp; Mixed-Use'!I51</f>
        <v>2.5</v>
      </c>
      <c r="H36" s="6" t="s">
        <v>13</v>
      </c>
    </row>
    <row r="38" spans="2:8" x14ac:dyDescent="0.3">
      <c r="B38" s="7" t="s">
        <v>102</v>
      </c>
      <c r="C38" s="14">
        <f>C34/C36</f>
        <v>0</v>
      </c>
      <c r="D38" s="7" t="s">
        <v>71</v>
      </c>
      <c r="E38" s="8"/>
      <c r="F38" s="7" t="s">
        <v>103</v>
      </c>
      <c r="G38" s="14">
        <f>G34/G36</f>
        <v>0</v>
      </c>
      <c r="H38" s="7" t="s">
        <v>71</v>
      </c>
    </row>
    <row r="40" spans="2:8" x14ac:dyDescent="0.3">
      <c r="B40" s="9" t="s">
        <v>108</v>
      </c>
      <c r="C40" t="s">
        <v>64</v>
      </c>
      <c r="D40" t="s">
        <v>65</v>
      </c>
    </row>
    <row r="41" spans="2:8" x14ac:dyDescent="0.3">
      <c r="B41" s="6" t="s">
        <v>230</v>
      </c>
      <c r="C41" t="s">
        <v>45</v>
      </c>
      <c r="F41" t="s">
        <v>230</v>
      </c>
      <c r="G41">
        <f>'Inputs Residential &amp; Mixed-Use'!I27</f>
        <v>0</v>
      </c>
    </row>
    <row r="42" spans="2:8" x14ac:dyDescent="0.3">
      <c r="B42" t="s">
        <v>190</v>
      </c>
      <c r="C42" t="s">
        <v>45</v>
      </c>
      <c r="F42" t="s">
        <v>191</v>
      </c>
      <c r="G42" t="str">
        <f>IF('Inputs Residential &amp; Mixed-Use'!I27="Gas","Gas","Electric")</f>
        <v>Electric</v>
      </c>
    </row>
    <row r="43" spans="2:8" x14ac:dyDescent="0.3">
      <c r="B43" t="s">
        <v>111</v>
      </c>
      <c r="C43" s="10">
        <f>'Drop down'!D19</f>
        <v>28.8</v>
      </c>
      <c r="D43" s="3" t="s">
        <v>54</v>
      </c>
      <c r="F43" t="s">
        <v>110</v>
      </c>
      <c r="G43" s="10" t="e">
        <f>VLOOKUP(G41,Table10[#All],3,FALSE)</f>
        <v>#N/A</v>
      </c>
      <c r="H43" t="e">
        <f>VLOOKUP(G41,Table10[#All],4,FALSE)</f>
        <v>#N/A</v>
      </c>
    </row>
    <row r="44" spans="2:8" x14ac:dyDescent="0.3">
      <c r="B44" t="s">
        <v>78</v>
      </c>
      <c r="C44" s="10">
        <v>6</v>
      </c>
      <c r="D44" t="s">
        <v>112</v>
      </c>
      <c r="F44" t="s">
        <v>78</v>
      </c>
      <c r="G44" s="10">
        <v>6</v>
      </c>
      <c r="H44" t="s">
        <v>112</v>
      </c>
    </row>
    <row r="46" spans="2:8" x14ac:dyDescent="0.3">
      <c r="B46" s="8" t="s">
        <v>113</v>
      </c>
      <c r="C46" s="14">
        <f>IF('Inputs Residential &amp; Mixed-Use'!I27="None",0,(C43*C44*365))</f>
        <v>63072.000000000007</v>
      </c>
      <c r="D46" s="8" t="str">
        <f>IF(C42="Gas","MJ/yr","kWh/yr")</f>
        <v>MJ/yr</v>
      </c>
      <c r="E46" s="8"/>
      <c r="F46" s="8" t="s">
        <v>114</v>
      </c>
      <c r="G46" s="14" t="e">
        <f>IF(G42="Gas",(G43*G44*365),(G43*G44*365))</f>
        <v>#N/A</v>
      </c>
      <c r="H46" s="8" t="str">
        <f>IF(G42="Gas","MJ/yr","kWh/yr")</f>
        <v>kWh/yr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2642-E153-4AED-9FB0-35F180787D0A}">
  <dimension ref="B3:H44"/>
  <sheetViews>
    <sheetView topLeftCell="A17" workbookViewId="0">
      <selection activeCell="P18" sqref="P18"/>
    </sheetView>
  </sheetViews>
  <sheetFormatPr defaultRowHeight="14.4" x14ac:dyDescent="0.3"/>
  <cols>
    <col min="2" max="2" width="35.33203125" bestFit="1" customWidth="1"/>
    <col min="3" max="3" width="12.44140625" bestFit="1" customWidth="1"/>
    <col min="6" max="6" width="32.88671875" bestFit="1" customWidth="1"/>
    <col min="7" max="7" width="12.44140625" bestFit="1" customWidth="1"/>
  </cols>
  <sheetData>
    <row r="3" spans="2:8" ht="27" x14ac:dyDescent="0.3">
      <c r="B3" s="5" t="s">
        <v>200</v>
      </c>
      <c r="C3" s="6" t="s">
        <v>64</v>
      </c>
      <c r="D3" s="6" t="s">
        <v>65</v>
      </c>
      <c r="G3" s="6" t="s">
        <v>64</v>
      </c>
      <c r="H3" s="6" t="s">
        <v>65</v>
      </c>
    </row>
    <row r="4" spans="2:8" x14ac:dyDescent="0.3">
      <c r="B4" s="6" t="s">
        <v>68</v>
      </c>
      <c r="C4" s="10">
        <f>'Inputs Residential &amp; Mixed-Use'!I7</f>
        <v>0</v>
      </c>
      <c r="D4" s="6" t="s">
        <v>69</v>
      </c>
      <c r="F4" s="6" t="s">
        <v>58</v>
      </c>
      <c r="G4" s="10">
        <f>'Inputs Residential &amp; Mixed-Use'!I7</f>
        <v>0</v>
      </c>
      <c r="H4" s="6" t="s">
        <v>69</v>
      </c>
    </row>
    <row r="5" spans="2:8" x14ac:dyDescent="0.3">
      <c r="B5" s="6" t="s">
        <v>70</v>
      </c>
      <c r="C5" s="10" t="e">
        <f>VLOOKUP(C4,Table12[#All],3,FALSE)</f>
        <v>#N/A</v>
      </c>
      <c r="D5" s="6" t="s">
        <v>132</v>
      </c>
      <c r="F5" s="6" t="s">
        <v>70</v>
      </c>
      <c r="G5" s="10" t="e">
        <f>VLOOKUP(C4,Table12[#All],3,FALSE)*(1-('Inputs Residential &amp; Mixed-Use'!M23/100))</f>
        <v>#N/A</v>
      </c>
      <c r="H5" s="6" t="s">
        <v>132</v>
      </c>
    </row>
    <row r="7" spans="2:8" x14ac:dyDescent="0.3">
      <c r="B7" s="6" t="s">
        <v>72</v>
      </c>
      <c r="C7" s="13">
        <v>3.1</v>
      </c>
      <c r="D7" s="6" t="s">
        <v>13</v>
      </c>
      <c r="F7" s="6" t="s">
        <v>104</v>
      </c>
      <c r="G7" s="12">
        <f>'Inputs Residential &amp; Mixed-Use'!M25</f>
        <v>3.4</v>
      </c>
      <c r="H7" s="6" t="s">
        <v>13</v>
      </c>
    </row>
    <row r="9" spans="2:8" x14ac:dyDescent="0.3">
      <c r="B9" s="7" t="s">
        <v>73</v>
      </c>
      <c r="C9" s="14" t="e">
        <f>IF(SUM('Inputs Residential &amp; Mixed-Use'!M31:M34)=0,(C5*'Inputs Residential &amp; Mixed-Use'!D9)/C7,(('Inputs Residential &amp; Mixed-Use'!M31+'Inputs Residential &amp; Mixed-Use'!M32)*'Inputs Residential &amp; Mixed-Use'!D9))</f>
        <v>#N/A</v>
      </c>
      <c r="D9" s="7" t="s">
        <v>71</v>
      </c>
      <c r="E9" s="8"/>
      <c r="F9" s="7" t="s">
        <v>74</v>
      </c>
      <c r="G9" s="14" t="e">
        <f>IF(SUM('Inputs Residential &amp; Mixed-Use'!M31:M34)=0,(G5*'Inputs Residential &amp; Mixed-Use'!D9)/G7,(('Inputs Residential &amp; Mixed-Use'!M38+'Inputs Residential &amp; Mixed-Use'!M39)*'Inputs Residential &amp; Mixed-Use'!D9))</f>
        <v>#N/A</v>
      </c>
      <c r="H9" s="7" t="s">
        <v>71</v>
      </c>
    </row>
    <row r="11" spans="2:8" ht="27" x14ac:dyDescent="0.3">
      <c r="B11" s="5" t="s">
        <v>202</v>
      </c>
      <c r="C11" s="6" t="s">
        <v>64</v>
      </c>
      <c r="D11" s="6" t="s">
        <v>65</v>
      </c>
      <c r="G11" s="6" t="s">
        <v>64</v>
      </c>
      <c r="H11" s="6" t="s">
        <v>65</v>
      </c>
    </row>
    <row r="12" spans="2:8" x14ac:dyDescent="0.3">
      <c r="B12" s="6" t="s">
        <v>68</v>
      </c>
      <c r="C12" s="10">
        <f>'Inputs Residential &amp; Mixed-Use'!I14</f>
        <v>0</v>
      </c>
      <c r="D12" s="6" t="s">
        <v>69</v>
      </c>
      <c r="F12" s="6" t="s">
        <v>58</v>
      </c>
      <c r="G12" s="10">
        <f>'Inputs Residential &amp; Mixed-Use'!I14</f>
        <v>0</v>
      </c>
      <c r="H12" s="6" t="s">
        <v>69</v>
      </c>
    </row>
    <row r="13" spans="2:8" x14ac:dyDescent="0.3">
      <c r="B13" s="6" t="s">
        <v>70</v>
      </c>
      <c r="C13" s="10">
        <f>SUM('Inputs Residential &amp; Mixed-Use'!M33:M34)</f>
        <v>0</v>
      </c>
      <c r="D13" s="6" t="s">
        <v>49</v>
      </c>
      <c r="F13" s="6" t="s">
        <v>70</v>
      </c>
      <c r="G13" s="10">
        <f>SUM('Inputs Residential &amp; Mixed-Use'!M40:M41)</f>
        <v>0</v>
      </c>
      <c r="H13" s="6" t="s">
        <v>49</v>
      </c>
    </row>
    <row r="15" spans="2:8" x14ac:dyDescent="0.3">
      <c r="B15" s="6" t="s">
        <v>72</v>
      </c>
      <c r="C15" s="13">
        <v>3.1</v>
      </c>
      <c r="D15" s="6" t="s">
        <v>13</v>
      </c>
      <c r="F15" s="6" t="s">
        <v>104</v>
      </c>
      <c r="G15" s="12">
        <f>'Inputs Residential &amp; Mixed-Use'!I33</f>
        <v>0</v>
      </c>
      <c r="H15" s="6" t="s">
        <v>13</v>
      </c>
    </row>
    <row r="17" spans="2:8" x14ac:dyDescent="0.3">
      <c r="B17" s="7" t="s">
        <v>73</v>
      </c>
      <c r="C17" s="14">
        <f>SUM('Inputs Residential &amp; Mixed-Use'!M33:M34)*'Inputs Residential &amp; Mixed-Use'!D9</f>
        <v>0</v>
      </c>
      <c r="D17" s="7" t="s">
        <v>201</v>
      </c>
      <c r="E17" s="8"/>
      <c r="F17" s="7" t="s">
        <v>74</v>
      </c>
      <c r="G17" s="14">
        <f>SUM('Inputs Residential &amp; Mixed-Use'!M40:M41)*'Inputs Residential &amp; Mixed-Use'!D9</f>
        <v>0</v>
      </c>
      <c r="H17" s="7" t="s">
        <v>201</v>
      </c>
    </row>
    <row r="19" spans="2:8" x14ac:dyDescent="0.3">
      <c r="B19" s="1" t="s">
        <v>182</v>
      </c>
      <c r="C19" s="6"/>
      <c r="D19" s="6"/>
      <c r="G19" s="6"/>
      <c r="H19" s="6"/>
    </row>
    <row r="20" spans="2:8" x14ac:dyDescent="0.3">
      <c r="B20" s="1"/>
      <c r="C20" s="6"/>
      <c r="D20" s="6"/>
      <c r="G20" s="6"/>
      <c r="H20" s="6"/>
    </row>
    <row r="21" spans="2:8" x14ac:dyDescent="0.3">
      <c r="B21" s="7" t="s">
        <v>183</v>
      </c>
      <c r="C21" s="14">
        <f>'Inputs Residential &amp; Mixed-Use'!M35*'Inputs Residential &amp; Mixed-Use'!D9</f>
        <v>0</v>
      </c>
      <c r="D21" s="7" t="s">
        <v>71</v>
      </c>
      <c r="E21" s="8"/>
      <c r="F21" s="7" t="s">
        <v>184</v>
      </c>
      <c r="G21" s="14">
        <f>'Inputs Residential &amp; Mixed-Use'!M42*'Inputs Residential &amp; Mixed-Use'!D9</f>
        <v>0</v>
      </c>
      <c r="H21" s="7" t="s">
        <v>71</v>
      </c>
    </row>
    <row r="23" spans="2:8" x14ac:dyDescent="0.3">
      <c r="B23" s="5" t="s">
        <v>75</v>
      </c>
      <c r="C23" s="6" t="s">
        <v>64</v>
      </c>
      <c r="D23" s="6" t="s">
        <v>65</v>
      </c>
      <c r="G23" s="6" t="s">
        <v>64</v>
      </c>
      <c r="H23" s="6" t="s">
        <v>65</v>
      </c>
    </row>
    <row r="24" spans="2:8" x14ac:dyDescent="0.3">
      <c r="B24" s="6" t="s">
        <v>109</v>
      </c>
      <c r="C24" s="10">
        <v>11</v>
      </c>
      <c r="D24" s="6" t="s">
        <v>76</v>
      </c>
      <c r="F24" s="6" t="s">
        <v>77</v>
      </c>
      <c r="G24" s="10">
        <v>11</v>
      </c>
      <c r="H24" s="6" t="s">
        <v>76</v>
      </c>
    </row>
    <row r="25" spans="2:8" x14ac:dyDescent="0.3">
      <c r="B25" s="6" t="s">
        <v>78</v>
      </c>
      <c r="C25" s="10">
        <v>8</v>
      </c>
      <c r="D25" s="6" t="s">
        <v>79</v>
      </c>
      <c r="F25" s="6" t="s">
        <v>78</v>
      </c>
      <c r="G25" s="10">
        <v>8</v>
      </c>
      <c r="H25" s="6" t="s">
        <v>79</v>
      </c>
    </row>
    <row r="27" spans="2:8" x14ac:dyDescent="0.3">
      <c r="B27" s="7" t="s">
        <v>80</v>
      </c>
      <c r="C27" s="14">
        <f>(C24/1000)*(C25+((24-C25)*0.25))*(365-104)*'Inputs Residential &amp; Mixed-Use'!D9</f>
        <v>0</v>
      </c>
      <c r="D27" s="7" t="s">
        <v>71</v>
      </c>
      <c r="E27" s="8"/>
      <c r="F27" s="7" t="s">
        <v>81</v>
      </c>
      <c r="G27" s="14">
        <f>(G24/1000)*(G25+((24-G25)*0.25))*(365-104)*'Inputs Residential &amp; Mixed-Use'!D9</f>
        <v>0</v>
      </c>
      <c r="H27" s="7" t="s">
        <v>71</v>
      </c>
    </row>
    <row r="29" spans="2:8" x14ac:dyDescent="0.3">
      <c r="B29" s="9" t="s">
        <v>82</v>
      </c>
      <c r="C29" s="6" t="s">
        <v>64</v>
      </c>
      <c r="D29" s="6" t="s">
        <v>65</v>
      </c>
      <c r="G29" s="6" t="s">
        <v>64</v>
      </c>
      <c r="H29" s="6" t="s">
        <v>65</v>
      </c>
    </row>
    <row r="30" spans="2:8" x14ac:dyDescent="0.3">
      <c r="B30" s="6" t="s">
        <v>83</v>
      </c>
      <c r="C30" s="10">
        <v>4.5</v>
      </c>
      <c r="D30" s="6" t="s">
        <v>76</v>
      </c>
      <c r="F30" s="6" t="s">
        <v>84</v>
      </c>
      <c r="G30" s="10">
        <f>C30*(1-('Inputs Residential &amp; Mixed-Use'!M26/100))</f>
        <v>4.5</v>
      </c>
      <c r="H30" s="6" t="s">
        <v>76</v>
      </c>
    </row>
    <row r="31" spans="2:8" x14ac:dyDescent="0.3">
      <c r="B31" s="6" t="s">
        <v>133</v>
      </c>
      <c r="C31" s="10">
        <v>10</v>
      </c>
      <c r="D31" s="6" t="s">
        <v>79</v>
      </c>
      <c r="F31" s="6" t="s">
        <v>85</v>
      </c>
      <c r="G31" s="10">
        <v>10</v>
      </c>
      <c r="H31" s="6" t="s">
        <v>79</v>
      </c>
    </row>
    <row r="33" spans="2:8" x14ac:dyDescent="0.3">
      <c r="B33" s="7" t="s">
        <v>87</v>
      </c>
      <c r="C33" s="14">
        <f>IF('Inputs Residential &amp; Mixed-Use'!M36=0,((C30/1000)*C31*'Inputs Residential &amp; Mixed-Use'!D9*(365-104)),('Inputs Residential &amp; Mixed-Use'!M36*'Inputs Residential &amp; Mixed-Use'!D9))</f>
        <v>0</v>
      </c>
      <c r="D33" s="7" t="s">
        <v>71</v>
      </c>
      <c r="E33" s="8"/>
      <c r="F33" s="8" t="s">
        <v>88</v>
      </c>
      <c r="G33" s="14">
        <f>IF('Inputs Residential &amp; Mixed-Use'!M43=0,((G30/1000)*G31*'Inputs Residential &amp; Mixed-Use'!D9*(365-104)),('Inputs Residential &amp; Mixed-Use'!M43*'Inputs Residential &amp; Mixed-Use'!D9))</f>
        <v>0</v>
      </c>
      <c r="H33" s="7" t="s">
        <v>71</v>
      </c>
    </row>
    <row r="35" spans="2:8" x14ac:dyDescent="0.3">
      <c r="B35" s="9" t="s">
        <v>89</v>
      </c>
      <c r="C35" s="6" t="s">
        <v>64</v>
      </c>
      <c r="D35" s="6" t="s">
        <v>65</v>
      </c>
      <c r="G35" s="6" t="s">
        <v>64</v>
      </c>
      <c r="H35" s="6" t="s">
        <v>65</v>
      </c>
    </row>
    <row r="36" spans="2:8" x14ac:dyDescent="0.3">
      <c r="B36" s="6" t="s">
        <v>90</v>
      </c>
      <c r="C36" s="10">
        <f>'Inputs Residential &amp; Mixed-Use'!M52*4*(365-104)</f>
        <v>0</v>
      </c>
      <c r="D36" s="6" t="s">
        <v>91</v>
      </c>
      <c r="F36" s="6" t="s">
        <v>92</v>
      </c>
      <c r="G36" s="10">
        <f>C36*(1-('Inputs Residential &amp; Mixed-Use'!M53/100))</f>
        <v>0</v>
      </c>
      <c r="H36" s="6" t="s">
        <v>91</v>
      </c>
    </row>
    <row r="37" spans="2:8" x14ac:dyDescent="0.3">
      <c r="B37" s="6" t="s">
        <v>93</v>
      </c>
      <c r="C37" s="10">
        <v>15</v>
      </c>
      <c r="D37" s="6" t="s">
        <v>94</v>
      </c>
      <c r="F37" s="6" t="s">
        <v>93</v>
      </c>
      <c r="G37" s="10">
        <v>15</v>
      </c>
      <c r="H37" s="6" t="s">
        <v>94</v>
      </c>
    </row>
    <row r="38" spans="2:8" x14ac:dyDescent="0.3">
      <c r="B38" s="6" t="s">
        <v>95</v>
      </c>
      <c r="C38" s="10">
        <v>60</v>
      </c>
      <c r="D38" s="6" t="s">
        <v>94</v>
      </c>
      <c r="F38" s="6" t="s">
        <v>95</v>
      </c>
      <c r="G38" s="10">
        <v>60</v>
      </c>
      <c r="H38" s="6" t="s">
        <v>94</v>
      </c>
    </row>
    <row r="39" spans="2:8" x14ac:dyDescent="0.3">
      <c r="B39" s="6" t="s">
        <v>96</v>
      </c>
      <c r="C39" s="10">
        <v>4.1859999999999996E-3</v>
      </c>
      <c r="D39" s="6" t="s">
        <v>97</v>
      </c>
      <c r="F39" s="6" t="s">
        <v>96</v>
      </c>
      <c r="G39" s="10">
        <v>4.1859999999999996E-3</v>
      </c>
      <c r="H39" s="6" t="s">
        <v>97</v>
      </c>
    </row>
    <row r="40" spans="2:8" x14ac:dyDescent="0.3">
      <c r="B40" s="6" t="s">
        <v>98</v>
      </c>
      <c r="C40" s="10">
        <f>(C36*C39*(C38-C37))/3.6</f>
        <v>0</v>
      </c>
      <c r="D40" s="6" t="s">
        <v>71</v>
      </c>
      <c r="F40" s="6" t="s">
        <v>99</v>
      </c>
      <c r="G40" s="10">
        <f>(G36*G39*(G38-G37))/3.6</f>
        <v>0</v>
      </c>
      <c r="H40" s="6" t="s">
        <v>71</v>
      </c>
    </row>
    <row r="41" spans="2:8" x14ac:dyDescent="0.3">
      <c r="B41" s="6"/>
      <c r="D41" s="6"/>
      <c r="F41" s="6"/>
      <c r="H41" s="6"/>
    </row>
    <row r="42" spans="2:8" x14ac:dyDescent="0.3">
      <c r="B42" s="6" t="s">
        <v>100</v>
      </c>
      <c r="C42" s="10">
        <v>1</v>
      </c>
      <c r="D42" s="6" t="s">
        <v>13</v>
      </c>
      <c r="F42" t="s">
        <v>101</v>
      </c>
      <c r="G42" s="10">
        <f>'Inputs Residential &amp; Mixed-Use'!M51</f>
        <v>1</v>
      </c>
      <c r="H42" s="6" t="s">
        <v>13</v>
      </c>
    </row>
    <row r="44" spans="2:8" x14ac:dyDescent="0.3">
      <c r="B44" s="7" t="s">
        <v>102</v>
      </c>
      <c r="C44" s="14">
        <f>C40/C42</f>
        <v>0</v>
      </c>
      <c r="D44" s="7" t="s">
        <v>71</v>
      </c>
      <c r="E44" s="8"/>
      <c r="F44" s="7" t="s">
        <v>103</v>
      </c>
      <c r="G44" s="14">
        <f>G40/G42</f>
        <v>0</v>
      </c>
      <c r="H44" s="7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42DD-43C1-4867-805D-9608F5002492}">
  <dimension ref="B2:H20"/>
  <sheetViews>
    <sheetView workbookViewId="0">
      <selection activeCell="C17" sqref="C17"/>
    </sheetView>
  </sheetViews>
  <sheetFormatPr defaultRowHeight="14.4" x14ac:dyDescent="0.3"/>
  <cols>
    <col min="2" max="2" width="29.109375" bestFit="1" customWidth="1"/>
    <col min="3" max="3" width="16.6640625" bestFit="1" customWidth="1"/>
    <col min="6" max="6" width="30.5546875" bestFit="1" customWidth="1"/>
    <col min="7" max="7" width="13.44140625" customWidth="1"/>
  </cols>
  <sheetData>
    <row r="2" spans="2:8" ht="27" x14ac:dyDescent="0.3">
      <c r="B2" s="5" t="s">
        <v>63</v>
      </c>
      <c r="C2" s="6" t="s">
        <v>64</v>
      </c>
      <c r="D2" s="6" t="s">
        <v>65</v>
      </c>
      <c r="G2" s="6" t="s">
        <v>64</v>
      </c>
      <c r="H2" s="6" t="s">
        <v>65</v>
      </c>
    </row>
    <row r="3" spans="2:8" x14ac:dyDescent="0.3">
      <c r="B3" s="6" t="s">
        <v>68</v>
      </c>
      <c r="C3" s="10">
        <f>'Inputs Residential &amp; Mixed-Use'!I7</f>
        <v>0</v>
      </c>
      <c r="D3" s="6" t="s">
        <v>69</v>
      </c>
      <c r="F3" s="6" t="s">
        <v>58</v>
      </c>
      <c r="G3" s="10">
        <f>'Inputs Residential &amp; Mixed-Use'!I7</f>
        <v>0</v>
      </c>
      <c r="H3" s="6" t="s">
        <v>69</v>
      </c>
    </row>
    <row r="4" spans="2:8" x14ac:dyDescent="0.3">
      <c r="B4" s="6" t="s">
        <v>70</v>
      </c>
      <c r="C4" s="10" t="e">
        <f>VLOOKUP(C3,Table12[#All],4,FALSE)</f>
        <v>#N/A</v>
      </c>
      <c r="D4" s="6" t="s">
        <v>132</v>
      </c>
      <c r="F4" s="6" t="s">
        <v>70</v>
      </c>
      <c r="G4" s="10" t="e">
        <f>VLOOKUP(C3,Table12[#All],4,FALSE)*(1-('Inputs Residential &amp; Mixed-Use'!M22/100))</f>
        <v>#N/A</v>
      </c>
      <c r="H4" s="6" t="s">
        <v>132</v>
      </c>
    </row>
    <row r="6" spans="2:8" x14ac:dyDescent="0.3">
      <c r="B6" s="6" t="s">
        <v>72</v>
      </c>
      <c r="C6" s="13">
        <v>3.1</v>
      </c>
      <c r="D6" s="6" t="s">
        <v>13</v>
      </c>
      <c r="F6" s="6" t="s">
        <v>104</v>
      </c>
      <c r="G6" s="12">
        <f>3.1</f>
        <v>3.1</v>
      </c>
      <c r="H6" s="6" t="s">
        <v>13</v>
      </c>
    </row>
    <row r="8" spans="2:8" x14ac:dyDescent="0.3">
      <c r="B8" s="7" t="s">
        <v>73</v>
      </c>
      <c r="C8" s="14" t="e">
        <f>(C4*'Inputs Residential &amp; Mixed-Use'!D10)/C6</f>
        <v>#N/A</v>
      </c>
      <c r="D8" s="7" t="s">
        <v>71</v>
      </c>
      <c r="E8" s="8"/>
      <c r="F8" s="7" t="s">
        <v>74</v>
      </c>
      <c r="G8" s="14" t="e">
        <f>(G4*'Inputs Residential &amp; Mixed-Use'!D10)/G6</f>
        <v>#N/A</v>
      </c>
      <c r="H8" s="7" t="s">
        <v>71</v>
      </c>
    </row>
    <row r="9" spans="2:8" x14ac:dyDescent="0.3">
      <c r="B9" s="6"/>
      <c r="C9" s="20"/>
      <c r="D9" s="6"/>
      <c r="F9" s="6"/>
      <c r="G9" s="20"/>
      <c r="H9" s="6"/>
    </row>
    <row r="10" spans="2:8" x14ac:dyDescent="0.3">
      <c r="B10" s="9" t="s">
        <v>82</v>
      </c>
      <c r="C10" s="6" t="s">
        <v>64</v>
      </c>
      <c r="D10" s="6" t="s">
        <v>65</v>
      </c>
      <c r="G10" s="6" t="s">
        <v>64</v>
      </c>
      <c r="H10" s="6" t="s">
        <v>65</v>
      </c>
    </row>
    <row r="11" spans="2:8" x14ac:dyDescent="0.3">
      <c r="B11" s="6" t="s">
        <v>83</v>
      </c>
      <c r="C11" s="10">
        <v>5</v>
      </c>
      <c r="D11" s="6" t="s">
        <v>76</v>
      </c>
      <c r="F11" s="6" t="s">
        <v>84</v>
      </c>
      <c r="G11" s="10">
        <v>5</v>
      </c>
      <c r="H11" s="6" t="s">
        <v>76</v>
      </c>
    </row>
    <row r="12" spans="2:8" x14ac:dyDescent="0.3">
      <c r="B12" s="6" t="s">
        <v>133</v>
      </c>
      <c r="C12" s="10">
        <v>8</v>
      </c>
      <c r="D12" s="6" t="s">
        <v>79</v>
      </c>
      <c r="F12" s="6" t="s">
        <v>85</v>
      </c>
      <c r="G12" s="10">
        <v>8</v>
      </c>
      <c r="H12" s="6" t="s">
        <v>79</v>
      </c>
    </row>
    <row r="14" spans="2:8" x14ac:dyDescent="0.3">
      <c r="B14" s="7" t="s">
        <v>87</v>
      </c>
      <c r="C14" s="14">
        <f>(C11/1000)*365*C12*('Inputs Residential &amp; Mixed-Use'!D11+'Inputs Residential &amp; Mixed-Use'!D10)</f>
        <v>0</v>
      </c>
      <c r="D14" s="7" t="s">
        <v>71</v>
      </c>
      <c r="E14" s="8"/>
      <c r="F14" s="8" t="s">
        <v>88</v>
      </c>
      <c r="G14" s="14">
        <f>(G11/1000)*365*G12*('Inputs Residential &amp; Mixed-Use'!D11+'Inputs Residential &amp; Mixed-Use'!D10)</f>
        <v>0</v>
      </c>
      <c r="H14" s="7" t="s">
        <v>71</v>
      </c>
    </row>
    <row r="16" spans="2:8" x14ac:dyDescent="0.3">
      <c r="B16" t="s">
        <v>166</v>
      </c>
      <c r="C16" t="s">
        <v>64</v>
      </c>
      <c r="D16" t="s">
        <v>65</v>
      </c>
    </row>
    <row r="17" spans="2:8" x14ac:dyDescent="0.3">
      <c r="B17" t="s">
        <v>167</v>
      </c>
      <c r="C17">
        <f>'Inputs Residential &amp; Mixed-Use'!D15</f>
        <v>0</v>
      </c>
      <c r="D17" t="s">
        <v>164</v>
      </c>
      <c r="F17" t="s">
        <v>163</v>
      </c>
      <c r="G17">
        <f>'Inputs Residential &amp; Mixed-Use'!D15</f>
        <v>0</v>
      </c>
      <c r="H17" t="s">
        <v>164</v>
      </c>
    </row>
    <row r="18" spans="2:8" x14ac:dyDescent="0.3">
      <c r="B18" t="s">
        <v>162</v>
      </c>
      <c r="C18">
        <f>'Inputs Residential &amp; Mixed-Use'!D14</f>
        <v>0</v>
      </c>
      <c r="F18" t="s">
        <v>162</v>
      </c>
      <c r="G18">
        <f>'Inputs Residential &amp; Mixed-Use'!D14</f>
        <v>0</v>
      </c>
    </row>
    <row r="20" spans="2:8" x14ac:dyDescent="0.3">
      <c r="B20" s="7" t="s">
        <v>168</v>
      </c>
      <c r="C20" s="90">
        <f>(((110000*((C17/2)/1)*10)/3600)+0.07*24*365)*C18</f>
        <v>0</v>
      </c>
      <c r="D20" s="7" t="s">
        <v>71</v>
      </c>
      <c r="E20" s="8"/>
      <c r="F20" s="8"/>
      <c r="G20" s="90">
        <f>(((110000*((G17/2)/1)*10)/3600)+0.07*24*365)*G18</f>
        <v>0</v>
      </c>
      <c r="H20" s="7" t="s">
        <v>71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A639-308E-451F-8C9F-E88EF1CD0A9F}">
  <dimension ref="B2:H16"/>
  <sheetViews>
    <sheetView workbookViewId="0"/>
  </sheetViews>
  <sheetFormatPr defaultRowHeight="14.4" x14ac:dyDescent="0.3"/>
  <cols>
    <col min="2" max="2" width="29.109375" bestFit="1" customWidth="1"/>
    <col min="3" max="3" width="16.6640625" bestFit="1" customWidth="1"/>
    <col min="6" max="6" width="30.5546875" bestFit="1" customWidth="1"/>
    <col min="7" max="7" width="10.44140625" bestFit="1" customWidth="1"/>
  </cols>
  <sheetData>
    <row r="2" spans="2:8" x14ac:dyDescent="0.3">
      <c r="B2" s="5" t="s">
        <v>170</v>
      </c>
      <c r="C2" s="6" t="s">
        <v>64</v>
      </c>
      <c r="D2" s="6" t="s">
        <v>65</v>
      </c>
      <c r="G2" s="6" t="s">
        <v>64</v>
      </c>
      <c r="H2" s="6" t="s">
        <v>65</v>
      </c>
    </row>
    <row r="4" spans="2:8" x14ac:dyDescent="0.3">
      <c r="B4" s="7" t="s">
        <v>227</v>
      </c>
      <c r="C4" s="10">
        <f>'Inputs Residential &amp; Mixed-Use'!D12*42.33*(3212/8760)</f>
        <v>0</v>
      </c>
      <c r="D4" s="7" t="s">
        <v>71</v>
      </c>
      <c r="E4" s="8"/>
      <c r="F4" s="7" t="s">
        <v>74</v>
      </c>
      <c r="G4" s="10">
        <f>'Inputs Residential &amp; Mixed-Use'!D12*42.33*(3212/8760)</f>
        <v>0</v>
      </c>
      <c r="H4" s="7" t="s">
        <v>71</v>
      </c>
    </row>
    <row r="5" spans="2:8" x14ac:dyDescent="0.3">
      <c r="B5" s="6"/>
      <c r="C5" s="20"/>
      <c r="D5" s="6"/>
      <c r="F5" s="6"/>
      <c r="G5" s="20"/>
      <c r="H5" s="6"/>
    </row>
    <row r="6" spans="2:8" x14ac:dyDescent="0.3">
      <c r="B6" s="9" t="s">
        <v>171</v>
      </c>
      <c r="C6" s="6" t="s">
        <v>64</v>
      </c>
      <c r="D6" s="6" t="s">
        <v>65</v>
      </c>
      <c r="G6" s="6" t="s">
        <v>64</v>
      </c>
      <c r="H6" s="6" t="s">
        <v>65</v>
      </c>
    </row>
    <row r="7" spans="2:8" x14ac:dyDescent="0.3">
      <c r="B7" s="6" t="s">
        <v>83</v>
      </c>
      <c r="C7" s="10">
        <v>2</v>
      </c>
      <c r="D7" s="6" t="s">
        <v>76</v>
      </c>
      <c r="F7" s="6" t="s">
        <v>84</v>
      </c>
      <c r="G7" s="10">
        <v>2</v>
      </c>
      <c r="H7" s="6" t="s">
        <v>76</v>
      </c>
    </row>
    <row r="8" spans="2:8" x14ac:dyDescent="0.3">
      <c r="B8" s="6" t="s">
        <v>133</v>
      </c>
      <c r="C8" s="10">
        <v>10</v>
      </c>
      <c r="D8" s="6" t="s">
        <v>79</v>
      </c>
      <c r="F8" s="6" t="s">
        <v>85</v>
      </c>
      <c r="G8" s="10">
        <v>10</v>
      </c>
      <c r="H8" s="6" t="s">
        <v>79</v>
      </c>
    </row>
    <row r="10" spans="2:8" x14ac:dyDescent="0.3">
      <c r="B10" s="7" t="s">
        <v>87</v>
      </c>
      <c r="C10" s="14">
        <f>(C7/1000)*C8*365*'Inputs Residential &amp; Mixed-Use'!D12</f>
        <v>0</v>
      </c>
      <c r="D10" s="7" t="s">
        <v>71</v>
      </c>
      <c r="E10" s="8"/>
      <c r="F10" s="8" t="s">
        <v>88</v>
      </c>
      <c r="G10" s="14">
        <f>(G7/1000)*G8*365*'Inputs Residential &amp; Mixed-Use'!D12</f>
        <v>0</v>
      </c>
      <c r="H10" s="7" t="s">
        <v>71</v>
      </c>
    </row>
    <row r="12" spans="2:8" x14ac:dyDescent="0.3">
      <c r="B12" s="9" t="s">
        <v>172</v>
      </c>
      <c r="C12" s="6" t="s">
        <v>64</v>
      </c>
      <c r="D12" s="6" t="s">
        <v>65</v>
      </c>
      <c r="G12" s="6" t="s">
        <v>64</v>
      </c>
      <c r="H12" s="6" t="s">
        <v>65</v>
      </c>
    </row>
    <row r="13" spans="2:8" x14ac:dyDescent="0.3">
      <c r="B13" s="6" t="s">
        <v>83</v>
      </c>
      <c r="C13" s="10">
        <v>1.5</v>
      </c>
      <c r="D13" s="6" t="s">
        <v>76</v>
      </c>
      <c r="F13" s="6" t="s">
        <v>84</v>
      </c>
      <c r="G13" s="10">
        <v>1.5</v>
      </c>
      <c r="H13" s="6" t="s">
        <v>76</v>
      </c>
    </row>
    <row r="14" spans="2:8" x14ac:dyDescent="0.3">
      <c r="B14" s="6" t="s">
        <v>133</v>
      </c>
      <c r="C14" s="10">
        <v>4</v>
      </c>
      <c r="D14" s="6" t="s">
        <v>79</v>
      </c>
      <c r="F14" s="6" t="s">
        <v>85</v>
      </c>
      <c r="G14" s="10">
        <v>4</v>
      </c>
      <c r="H14" s="6" t="s">
        <v>79</v>
      </c>
    </row>
    <row r="16" spans="2:8" x14ac:dyDescent="0.3">
      <c r="B16" s="7" t="s">
        <v>87</v>
      </c>
      <c r="C16" s="14">
        <f>(C13/1000)*C14*365*'Inputs Residential &amp; Mixed-Use'!D13</f>
        <v>0</v>
      </c>
      <c r="D16" s="7" t="s">
        <v>71</v>
      </c>
      <c r="E16" s="8"/>
      <c r="F16" s="8" t="s">
        <v>88</v>
      </c>
      <c r="G16" s="14">
        <f>(G13/1000)*G14*365*'Inputs Residential &amp; Mixed-Use'!D13</f>
        <v>0</v>
      </c>
      <c r="H16" s="7" t="s">
        <v>71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7D33-37A1-4563-9D13-3C298E78B961}">
  <dimension ref="A2:AC70"/>
  <sheetViews>
    <sheetView topLeftCell="C35" zoomScaleNormal="100" workbookViewId="0">
      <selection activeCell="H52" sqref="H52"/>
    </sheetView>
  </sheetViews>
  <sheetFormatPr defaultRowHeight="14.4" x14ac:dyDescent="0.3"/>
  <cols>
    <col min="3" max="3" width="32.109375" bestFit="1" customWidth="1"/>
    <col min="4" max="6" width="13.5546875" customWidth="1"/>
    <col min="7" max="7" width="15.33203125" bestFit="1" customWidth="1"/>
    <col min="8" max="8" width="24.109375" bestFit="1" customWidth="1"/>
    <col min="9" max="11" width="13.6640625" customWidth="1"/>
    <col min="12" max="12" width="11.44140625" customWidth="1"/>
    <col min="13" max="13" width="21.33203125" bestFit="1" customWidth="1"/>
    <col min="14" max="16" width="13.6640625" customWidth="1"/>
    <col min="18" max="18" width="32.109375" bestFit="1" customWidth="1"/>
    <col min="19" max="21" width="13.6640625" customWidth="1"/>
    <col min="23" max="23" width="32.44140625" customWidth="1"/>
    <col min="24" max="26" width="13.6640625" customWidth="1"/>
    <col min="28" max="29" width="10.5546875" bestFit="1" customWidth="1"/>
  </cols>
  <sheetData>
    <row r="2" spans="3:29" x14ac:dyDescent="0.3">
      <c r="H2" s="137" t="s">
        <v>225</v>
      </c>
      <c r="I2" s="137"/>
      <c r="J2" s="17">
        <v>0.86</v>
      </c>
      <c r="K2" t="s">
        <v>186</v>
      </c>
      <c r="R2" s="138" t="s">
        <v>122</v>
      </c>
      <c r="S2" s="138"/>
      <c r="T2" s="17">
        <v>0.28899999999999998</v>
      </c>
      <c r="U2" t="s">
        <v>136</v>
      </c>
      <c r="W2" s="4" t="s">
        <v>135</v>
      </c>
      <c r="Y2" s="17">
        <v>3.5000000000000003E-2</v>
      </c>
      <c r="Z2" t="s">
        <v>205</v>
      </c>
    </row>
    <row r="3" spans="3:29" x14ac:dyDescent="0.3">
      <c r="H3" s="137" t="s">
        <v>185</v>
      </c>
      <c r="I3" s="137"/>
      <c r="J3" s="17">
        <v>5.1529999999999999E-2</v>
      </c>
      <c r="K3" t="s">
        <v>206</v>
      </c>
      <c r="R3" s="138" t="s">
        <v>123</v>
      </c>
      <c r="S3" s="138"/>
      <c r="T3" s="17">
        <f>T2+0.05</f>
        <v>0.33899999999999997</v>
      </c>
      <c r="U3" t="s">
        <v>136</v>
      </c>
    </row>
    <row r="4" spans="3:29" x14ac:dyDescent="0.3">
      <c r="H4" s="137" t="s">
        <v>215</v>
      </c>
      <c r="I4" s="137"/>
      <c r="J4" s="17">
        <v>0</v>
      </c>
      <c r="K4" t="s">
        <v>186</v>
      </c>
      <c r="T4" s="17"/>
    </row>
    <row r="5" spans="3:29" ht="15" thickBot="1" x14ac:dyDescent="0.35"/>
    <row r="6" spans="3:29" ht="17.399999999999999" x14ac:dyDescent="0.35">
      <c r="C6" s="139" t="s">
        <v>16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1"/>
    </row>
    <row r="7" spans="3:29" ht="28.8" x14ac:dyDescent="0.3">
      <c r="C7" s="37" t="s">
        <v>138</v>
      </c>
      <c r="D7" s="91" t="s">
        <v>233</v>
      </c>
      <c r="E7" s="101" t="s">
        <v>236</v>
      </c>
      <c r="F7" s="101">
        <f>'Inputs Residential &amp; Mixed-Use'!D5</f>
        <v>0</v>
      </c>
      <c r="G7" s="15"/>
      <c r="H7" s="8" t="s">
        <v>140</v>
      </c>
      <c r="I7" s="91" t="s">
        <v>233</v>
      </c>
      <c r="J7" s="91" t="s">
        <v>236</v>
      </c>
      <c r="K7" s="91">
        <f>'Inputs Residential &amp; Mixed-Use'!D5</f>
        <v>0</v>
      </c>
      <c r="L7" s="15"/>
      <c r="M7" s="91" t="s">
        <v>228</v>
      </c>
      <c r="N7" s="91" t="s">
        <v>233</v>
      </c>
      <c r="O7" s="91" t="s">
        <v>236</v>
      </c>
      <c r="P7" s="91">
        <f>'Inputs Residential &amp; Mixed-Use'!D5</f>
        <v>0</v>
      </c>
      <c r="R7" s="8" t="s">
        <v>121</v>
      </c>
      <c r="S7" s="91" t="s">
        <v>233</v>
      </c>
      <c r="T7" s="91" t="s">
        <v>236</v>
      </c>
      <c r="U7" s="91">
        <f>'Inputs Residential &amp; Mixed-Use'!D5</f>
        <v>0</v>
      </c>
      <c r="W7" s="8" t="s">
        <v>124</v>
      </c>
      <c r="X7" s="101" t="s">
        <v>233</v>
      </c>
      <c r="Y7" s="101" t="s">
        <v>236</v>
      </c>
      <c r="Z7" s="101">
        <f>'Inputs Residential &amp; Mixed-Use'!D5</f>
        <v>0</v>
      </c>
    </row>
    <row r="8" spans="3:29" x14ac:dyDescent="0.3">
      <c r="C8" s="21" t="s">
        <v>125</v>
      </c>
      <c r="D8" s="15" t="e">
        <f>'Calculations Residential'!C12</f>
        <v>#N/A</v>
      </c>
      <c r="E8" s="15" t="e">
        <f>'Calculations Residential'!G12</f>
        <v>#N/A</v>
      </c>
      <c r="F8" s="15">
        <f>'Calculations Residential'!K12</f>
        <v>0</v>
      </c>
      <c r="G8" s="15"/>
      <c r="H8" s="15" t="str">
        <f t="shared" ref="H8:H15" si="0">C8</f>
        <v>Heating &amp; Cooling</v>
      </c>
      <c r="I8" s="15" t="e">
        <f>(D8*$J$2)/1000</f>
        <v>#N/A</v>
      </c>
      <c r="J8" s="15" t="e">
        <f>(E8*$J$2)/1000</f>
        <v>#N/A</v>
      </c>
      <c r="K8" s="15">
        <f>(F8*$J$2)/1000</f>
        <v>0</v>
      </c>
      <c r="L8" s="15"/>
      <c r="M8" s="15" t="str">
        <f>H8</f>
        <v>Heating &amp; Cooling</v>
      </c>
      <c r="N8" s="15" t="e">
        <f>I8</f>
        <v>#N/A</v>
      </c>
      <c r="O8" s="15" t="e">
        <f t="shared" ref="O8:O13" si="1">(E8*$J$2)/1000</f>
        <v>#N/A</v>
      </c>
      <c r="P8" s="15">
        <f>IF('Inputs Residential &amp; Mixed-Use'!$D$17="Whole Development",((F8*$J$4)/1000),((F8*$J$2)/1000))</f>
        <v>0</v>
      </c>
      <c r="Q8" s="15"/>
      <c r="R8" t="str">
        <f t="shared" ref="R8:R15" si="2">C8</f>
        <v>Heating &amp; Cooling</v>
      </c>
      <c r="S8" s="38" t="e">
        <f t="shared" ref="S8:T10" si="3">D8*$T$2</f>
        <v>#N/A</v>
      </c>
      <c r="T8" s="38" t="e">
        <f t="shared" si="3"/>
        <v>#N/A</v>
      </c>
      <c r="U8" s="38">
        <f>IF('Inputs Residential &amp; Mixed-Use'!$D$17="Whole Development",'Totals Residential &amp; Mixed-Use'!F8*$T$3, 'Totals Residential &amp; Mixed-Use'!F8*$T$2)</f>
        <v>0</v>
      </c>
      <c r="W8" t="str">
        <f>R8</f>
        <v>Heating &amp; Cooling</v>
      </c>
      <c r="X8" s="39" t="e">
        <f>S8/'Inputs Residential &amp; Mixed-Use'!$D$6</f>
        <v>#N/A</v>
      </c>
      <c r="Y8" s="39" t="e">
        <f>T8/'Inputs Residential &amp; Mixed-Use'!$D$6</f>
        <v>#N/A</v>
      </c>
      <c r="Z8" s="40" t="e">
        <f>U8/'Inputs Residential &amp; Mixed-Use'!$D$6</f>
        <v>#DIV/0!</v>
      </c>
    </row>
    <row r="9" spans="3:29" x14ac:dyDescent="0.3">
      <c r="C9" s="21" t="s">
        <v>126</v>
      </c>
      <c r="D9" s="15">
        <f>'Calculations Residential'!C18</f>
        <v>0</v>
      </c>
      <c r="E9">
        <f>'Calculations Residential'!G18</f>
        <v>0</v>
      </c>
      <c r="F9" s="15">
        <f>'Calculations Residential'!K18</f>
        <v>0</v>
      </c>
      <c r="G9" s="15"/>
      <c r="H9" s="15" t="str">
        <f t="shared" si="0"/>
        <v>Appliances</v>
      </c>
      <c r="I9" s="15">
        <f>(D9*$J$2)/1000</f>
        <v>0</v>
      </c>
      <c r="J9" s="15">
        <f t="shared" ref="J9:K13" si="4">(E9*$J$2)/1000</f>
        <v>0</v>
      </c>
      <c r="K9" s="15">
        <f t="shared" si="4"/>
        <v>0</v>
      </c>
      <c r="L9" s="15"/>
      <c r="M9" s="15" t="str">
        <f t="shared" ref="M9:M15" si="5">H9</f>
        <v>Appliances</v>
      </c>
      <c r="N9" s="15">
        <f>I9</f>
        <v>0</v>
      </c>
      <c r="O9" s="15">
        <f t="shared" si="1"/>
        <v>0</v>
      </c>
      <c r="P9" s="15">
        <f>IF('Inputs Residential &amp; Mixed-Use'!$D$17="Whole Development",((F9*$J$4)/1000),((F9*$J$2)/1000))</f>
        <v>0</v>
      </c>
      <c r="R9" t="str">
        <f t="shared" si="2"/>
        <v>Appliances</v>
      </c>
      <c r="S9" s="38">
        <f t="shared" si="3"/>
        <v>0</v>
      </c>
      <c r="T9" s="38">
        <f t="shared" si="3"/>
        <v>0</v>
      </c>
      <c r="U9" s="38">
        <f>IF('Inputs Residential &amp; Mixed-Use'!$D$17="Whole Development",'Totals Residential &amp; Mixed-Use'!F9*$T$3, 'Totals Residential &amp; Mixed-Use'!F9*$T$2)</f>
        <v>0</v>
      </c>
      <c r="W9" t="str">
        <f t="shared" ref="W9:W15" si="6">R9</f>
        <v>Appliances</v>
      </c>
      <c r="X9" s="39" t="e">
        <f>S9/'Inputs Residential &amp; Mixed-Use'!$D$6</f>
        <v>#DIV/0!</v>
      </c>
      <c r="Y9" s="39" t="e">
        <f>T9/'Inputs Residential &amp; Mixed-Use'!$D$6</f>
        <v>#DIV/0!</v>
      </c>
      <c r="Z9" s="40" t="e">
        <f>U9/'Inputs Residential &amp; Mixed-Use'!$D$6</f>
        <v>#DIV/0!</v>
      </c>
      <c r="AB9" s="39"/>
      <c r="AC9" s="39"/>
    </row>
    <row r="10" spans="3:29" x14ac:dyDescent="0.3">
      <c r="C10" s="21" t="s">
        <v>127</v>
      </c>
      <c r="D10" s="15">
        <f>'Calculations Residential'!C25</f>
        <v>0</v>
      </c>
      <c r="E10" s="15">
        <f>'Calculations Residential'!G25</f>
        <v>0</v>
      </c>
      <c r="F10" s="15">
        <f>'Calculations Residential'!K25</f>
        <v>0</v>
      </c>
      <c r="G10" s="15"/>
      <c r="H10" s="15" t="str">
        <f t="shared" si="0"/>
        <v>Lighting</v>
      </c>
      <c r="I10" s="15">
        <f>(D10*$J$2)/1000</f>
        <v>0</v>
      </c>
      <c r="J10" s="15">
        <f t="shared" si="4"/>
        <v>0</v>
      </c>
      <c r="K10" s="15">
        <f t="shared" si="4"/>
        <v>0</v>
      </c>
      <c r="L10" s="15"/>
      <c r="M10" s="15" t="str">
        <f t="shared" si="5"/>
        <v>Lighting</v>
      </c>
      <c r="N10" s="15">
        <f>I10</f>
        <v>0</v>
      </c>
      <c r="O10" s="15">
        <f t="shared" si="1"/>
        <v>0</v>
      </c>
      <c r="P10" s="15">
        <f>IF('Inputs Residential &amp; Mixed-Use'!$D$17="Whole Development",((F10*$J$4)/1000),((F10*$J$2)/1000))</f>
        <v>0</v>
      </c>
      <c r="R10" t="str">
        <f t="shared" si="2"/>
        <v>Lighting</v>
      </c>
      <c r="S10" s="38">
        <f t="shared" si="3"/>
        <v>0</v>
      </c>
      <c r="T10" s="38">
        <f t="shared" si="3"/>
        <v>0</v>
      </c>
      <c r="U10" s="38">
        <f>IF('Inputs Residential &amp; Mixed-Use'!$D$17="Whole Development",'Totals Residential &amp; Mixed-Use'!F10*$T$3, 'Totals Residential &amp; Mixed-Use'!F10*$T$2)</f>
        <v>0</v>
      </c>
      <c r="W10" t="str">
        <f t="shared" si="6"/>
        <v>Lighting</v>
      </c>
      <c r="X10" s="39" t="e">
        <f>S10/'Inputs Residential &amp; Mixed-Use'!$D$6</f>
        <v>#DIV/0!</v>
      </c>
      <c r="Y10" s="39" t="e">
        <f>T10/'Inputs Residential &amp; Mixed-Use'!$D$6</f>
        <v>#DIV/0!</v>
      </c>
      <c r="Z10" s="40" t="e">
        <f>U10/'Inputs Residential &amp; Mixed-Use'!$D$6</f>
        <v>#DIV/0!</v>
      </c>
      <c r="AB10" s="39"/>
      <c r="AC10" s="39"/>
    </row>
    <row r="11" spans="3:29" x14ac:dyDescent="0.3">
      <c r="C11" s="21" t="s">
        <v>128</v>
      </c>
      <c r="D11" s="15">
        <f>'Calculations Residential'!C37/3.6</f>
        <v>0</v>
      </c>
      <c r="E11" s="15">
        <f>'Calculations Residential'!G37</f>
        <v>0</v>
      </c>
      <c r="F11" s="15" t="e">
        <f>'Calculations Residential'!K37</f>
        <v>#N/A</v>
      </c>
      <c r="G11" s="15"/>
      <c r="H11" s="15" t="str">
        <f t="shared" si="0"/>
        <v>Hot Water</v>
      </c>
      <c r="I11" s="15">
        <f>(D11*3.6*$J$3)/1000</f>
        <v>0</v>
      </c>
      <c r="J11" s="15">
        <f t="shared" si="4"/>
        <v>0</v>
      </c>
      <c r="K11" s="15" t="e">
        <f t="shared" si="4"/>
        <v>#N/A</v>
      </c>
      <c r="L11" s="15"/>
      <c r="M11" s="15" t="str">
        <f t="shared" si="5"/>
        <v>Hot Water</v>
      </c>
      <c r="N11" s="15">
        <f>I11</f>
        <v>0</v>
      </c>
      <c r="O11" s="15">
        <f t="shared" si="1"/>
        <v>0</v>
      </c>
      <c r="P11" s="15" t="e">
        <f>IF('Inputs Residential &amp; Mixed-Use'!$D$17="Whole Development",((F11*$J$4)/1000),((F11*$J$2)/1000))</f>
        <v>#N/A</v>
      </c>
      <c r="R11" t="str">
        <f t="shared" si="2"/>
        <v>Hot Water</v>
      </c>
      <c r="S11" s="38">
        <f>D11*3.6*$Y$2</f>
        <v>0</v>
      </c>
      <c r="T11" s="38">
        <f>E11*$T$2</f>
        <v>0</v>
      </c>
      <c r="U11" s="38" t="e">
        <f>IF('Inputs Residential &amp; Mixed-Use'!$D$17="Whole Development",'Totals Residential &amp; Mixed-Use'!F11*$T$3, 'Totals Residential &amp; Mixed-Use'!F11*$T$2)</f>
        <v>#N/A</v>
      </c>
      <c r="W11" t="str">
        <f t="shared" si="6"/>
        <v>Hot Water</v>
      </c>
      <c r="X11" s="39" t="e">
        <f>S11/'Inputs Residential &amp; Mixed-Use'!$D$6</f>
        <v>#DIV/0!</v>
      </c>
      <c r="Y11" s="39" t="e">
        <f>T11/'Inputs Residential &amp; Mixed-Use'!$D$6</f>
        <v>#DIV/0!</v>
      </c>
      <c r="Z11" s="40" t="e">
        <f>U11/'Inputs Residential &amp; Mixed-Use'!$D$6</f>
        <v>#N/A</v>
      </c>
      <c r="AB11" s="39"/>
      <c r="AC11" s="39"/>
    </row>
    <row r="12" spans="3:29" x14ac:dyDescent="0.3">
      <c r="C12" s="21" t="s">
        <v>42</v>
      </c>
      <c r="D12" s="15">
        <f>'Calculations Residential'!C44/3.6</f>
        <v>0</v>
      </c>
      <c r="E12" s="15">
        <f>'Calculations Residential'!G44</f>
        <v>0</v>
      </c>
      <c r="F12" s="15">
        <f>IF('Calculations Residential'!K40="Gas",'Calculations Residential'!K44*0.277776,'Calculations Residential'!K44)</f>
        <v>0</v>
      </c>
      <c r="G12" s="15"/>
      <c r="H12" s="15" t="str">
        <f t="shared" si="0"/>
        <v>Cooktops</v>
      </c>
      <c r="I12" s="15">
        <f>(D12*3.6*$J$3)/1000</f>
        <v>0</v>
      </c>
      <c r="J12" s="15">
        <f t="shared" si="4"/>
        <v>0</v>
      </c>
      <c r="K12" s="15">
        <f t="shared" si="4"/>
        <v>0</v>
      </c>
      <c r="L12" s="15"/>
      <c r="M12" s="15" t="str">
        <f t="shared" si="5"/>
        <v>Cooktops</v>
      </c>
      <c r="N12" s="15">
        <f>I12</f>
        <v>0</v>
      </c>
      <c r="O12" s="15">
        <f t="shared" si="1"/>
        <v>0</v>
      </c>
      <c r="P12" s="15">
        <f>IF('Inputs Residential &amp; Mixed-Use'!$D$17="Whole Development",((F12*$J$4)/1000),((F12*$J$2)/1000))</f>
        <v>0</v>
      </c>
      <c r="R12" t="str">
        <f t="shared" si="2"/>
        <v>Cooktops</v>
      </c>
      <c r="S12" s="38">
        <f>D12*3.6*$Y$2</f>
        <v>0</v>
      </c>
      <c r="T12" s="38">
        <f>E12*$T$2</f>
        <v>0</v>
      </c>
      <c r="U12" s="38">
        <f>IF('Inputs Residential &amp; Mixed-Use'!$D$17="Whole Development",'Totals Residential &amp; Mixed-Use'!F12*$T$3, 'Totals Residential &amp; Mixed-Use'!F12*$T$2)</f>
        <v>0</v>
      </c>
      <c r="W12" t="str">
        <f t="shared" si="6"/>
        <v>Cooktops</v>
      </c>
      <c r="X12" s="39" t="e">
        <f>S12/'Inputs Residential &amp; Mixed-Use'!$D$6</f>
        <v>#DIV/0!</v>
      </c>
      <c r="Y12" s="39" t="e">
        <f>T12/'Inputs Residential &amp; Mixed-Use'!$D$6</f>
        <v>#DIV/0!</v>
      </c>
      <c r="Z12" s="40" t="e">
        <f>U12/'Inputs Residential &amp; Mixed-Use'!$D$6</f>
        <v>#DIV/0!</v>
      </c>
    </row>
    <row r="13" spans="3:29" x14ac:dyDescent="0.3">
      <c r="C13" s="21" t="s">
        <v>115</v>
      </c>
      <c r="D13" s="15">
        <f>'Calculations Residential'!C47</f>
        <v>0</v>
      </c>
      <c r="E13" s="15">
        <f>'Calculations Residential'!G47</f>
        <v>0</v>
      </c>
      <c r="F13" s="15">
        <f>'Calculations Residential'!K47</f>
        <v>0</v>
      </c>
      <c r="G13" s="15"/>
      <c r="H13" s="15" t="str">
        <f t="shared" si="0"/>
        <v>Clothes Drying</v>
      </c>
      <c r="I13" s="15">
        <f>(D13*$J$2)/1000</f>
        <v>0</v>
      </c>
      <c r="J13" s="15">
        <f t="shared" si="4"/>
        <v>0</v>
      </c>
      <c r="K13" s="15">
        <f t="shared" si="4"/>
        <v>0</v>
      </c>
      <c r="L13" s="15"/>
      <c r="M13" s="15" t="str">
        <f t="shared" si="5"/>
        <v>Clothes Drying</v>
      </c>
      <c r="N13" s="15">
        <f>I13</f>
        <v>0</v>
      </c>
      <c r="O13" s="15">
        <f t="shared" si="1"/>
        <v>0</v>
      </c>
      <c r="P13" s="15">
        <f>IF('Inputs Residential &amp; Mixed-Use'!$D$17="Whole Development",((F13*$J$4)/1000),((F13*$J$2)/1000))</f>
        <v>0</v>
      </c>
      <c r="R13" t="str">
        <f t="shared" si="2"/>
        <v>Clothes Drying</v>
      </c>
      <c r="S13" s="38">
        <f>D13*$T$2</f>
        <v>0</v>
      </c>
      <c r="T13" s="52">
        <f>E13*$T$2</f>
        <v>0</v>
      </c>
      <c r="U13" s="38">
        <f>IF('Inputs Residential &amp; Mixed-Use'!$D$17="Whole Development",'Totals Residential &amp; Mixed-Use'!F13*$T$3, 'Totals Residential &amp; Mixed-Use'!F13*$T$2)</f>
        <v>0</v>
      </c>
      <c r="W13" t="str">
        <f t="shared" si="6"/>
        <v>Clothes Drying</v>
      </c>
      <c r="X13" s="39" t="e">
        <f>S13/'Inputs Residential &amp; Mixed-Use'!$D$6</f>
        <v>#DIV/0!</v>
      </c>
      <c r="Y13" s="39" t="e">
        <f>T13/'Inputs Residential &amp; Mixed-Use'!$D$6</f>
        <v>#DIV/0!</v>
      </c>
      <c r="Z13" s="40" t="e">
        <f>U13/'Inputs Residential &amp; Mixed-Use'!$D$6</f>
        <v>#DIV/0!</v>
      </c>
    </row>
    <row r="14" spans="3:29" x14ac:dyDescent="0.3">
      <c r="C14" s="21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S14" s="38"/>
      <c r="T14" s="52"/>
      <c r="U14" s="52"/>
      <c r="W14" t="s">
        <v>250</v>
      </c>
      <c r="X14" s="39">
        <f>0</f>
        <v>0</v>
      </c>
      <c r="Y14" s="39">
        <f>0</f>
        <v>0</v>
      </c>
      <c r="Z14" s="40">
        <f>IF('Inputs Residential &amp; Mixed-Use'!D40=0,('Inputs Residential &amp; Mixed-Use'!D41*T2*-1),0)</f>
        <v>0</v>
      </c>
    </row>
    <row r="15" spans="3:29" ht="15" thickBot="1" x14ac:dyDescent="0.35">
      <c r="C15" s="80" t="s">
        <v>120</v>
      </c>
      <c r="D15" s="18" t="e">
        <f>SUM(D8:D13)</f>
        <v>#N/A</v>
      </c>
      <c r="E15" s="18" t="e">
        <f>SUM(E8:E13)</f>
        <v>#N/A</v>
      </c>
      <c r="F15" s="18" t="e">
        <f>SUM(F8:F13)</f>
        <v>#N/A</v>
      </c>
      <c r="G15" s="43"/>
      <c r="H15" s="42" t="str">
        <f t="shared" si="0"/>
        <v>Total</v>
      </c>
      <c r="I15" s="42" t="e">
        <f>SUM(I8:I13)</f>
        <v>#N/A</v>
      </c>
      <c r="J15" s="42" t="e">
        <f>SUM(J8:J13)</f>
        <v>#N/A</v>
      </c>
      <c r="K15" s="42" t="e">
        <f>SUM(K8:K13)</f>
        <v>#N/A</v>
      </c>
      <c r="L15" s="42"/>
      <c r="M15" s="42" t="str">
        <f t="shared" si="5"/>
        <v>Total</v>
      </c>
      <c r="N15" s="42" t="e">
        <f>SUM(N8:N13)</f>
        <v>#N/A</v>
      </c>
      <c r="O15" s="42" t="e">
        <f>SUM(O8:O13)</f>
        <v>#N/A</v>
      </c>
      <c r="P15" s="42" t="e">
        <f>SUM(P8:P13)</f>
        <v>#N/A</v>
      </c>
      <c r="Q15" s="44"/>
      <c r="R15" s="45" t="str">
        <f t="shared" si="2"/>
        <v>Total</v>
      </c>
      <c r="S15" s="46" t="e">
        <f>SUM(S8:S13)</f>
        <v>#N/A</v>
      </c>
      <c r="T15" s="46" t="e">
        <f>SUM(T8:T13)</f>
        <v>#N/A</v>
      </c>
      <c r="U15" s="46" t="e">
        <f>SUM(U8:U13)</f>
        <v>#N/A</v>
      </c>
      <c r="V15" s="44"/>
      <c r="W15" s="45" t="str">
        <f t="shared" si="6"/>
        <v>Total</v>
      </c>
      <c r="X15" s="47" t="e">
        <f>SUM(X8:X13)</f>
        <v>#N/A</v>
      </c>
      <c r="Y15" s="47" t="e">
        <f>SUM(Y8:Y13)</f>
        <v>#N/A</v>
      </c>
      <c r="Z15" s="48" t="e">
        <f>SUM(Z8:Z13)</f>
        <v>#DIV/0!</v>
      </c>
    </row>
    <row r="16" spans="3:29" x14ac:dyDescent="0.3">
      <c r="C16" s="119" t="s">
        <v>242</v>
      </c>
      <c r="D16" s="120"/>
      <c r="E16" s="121"/>
      <c r="F16" s="122" t="e">
        <f>(E15-F15)</f>
        <v>#N/A</v>
      </c>
      <c r="G16" s="15"/>
      <c r="H16" s="18"/>
      <c r="I16" s="18"/>
      <c r="J16" s="18"/>
      <c r="K16" s="18"/>
      <c r="L16" s="18"/>
      <c r="M16" s="18"/>
      <c r="N16" s="18"/>
      <c r="O16" s="18"/>
      <c r="P16" s="18"/>
      <c r="R16" s="1"/>
      <c r="S16" s="97"/>
      <c r="T16" s="97"/>
      <c r="U16" s="97"/>
      <c r="W16" s="1"/>
      <c r="X16" s="85"/>
      <c r="Y16" s="85"/>
      <c r="Z16" s="85"/>
    </row>
    <row r="17" spans="1:26" ht="15" thickBot="1" x14ac:dyDescent="0.35"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W17" s="1" t="s">
        <v>237</v>
      </c>
      <c r="X17" s="100" t="e">
        <f>X15-Z15</f>
        <v>#N/A</v>
      </c>
      <c r="Y17" s="100" t="e">
        <f>Y15-Z15</f>
        <v>#N/A</v>
      </c>
      <c r="Z17" s="85"/>
    </row>
    <row r="18" spans="1:26" ht="17.399999999999999" x14ac:dyDescent="0.35">
      <c r="C18" s="139" t="s">
        <v>130</v>
      </c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1"/>
    </row>
    <row r="19" spans="1:26" ht="28.8" x14ac:dyDescent="0.3">
      <c r="C19" s="37" t="s">
        <v>138</v>
      </c>
      <c r="D19" s="91"/>
      <c r="E19" s="91" t="s">
        <v>236</v>
      </c>
      <c r="F19" s="91">
        <f>'Inputs Residential &amp; Mixed-Use'!D5</f>
        <v>0</v>
      </c>
      <c r="G19" s="15"/>
      <c r="H19" s="8" t="s">
        <v>140</v>
      </c>
      <c r="I19" s="8"/>
      <c r="J19" s="91" t="s">
        <v>236</v>
      </c>
      <c r="K19" s="91">
        <f>'Inputs Residential &amp; Mixed-Use'!D5</f>
        <v>0</v>
      </c>
      <c r="L19" s="15"/>
      <c r="M19" s="91" t="s">
        <v>228</v>
      </c>
      <c r="N19" s="91"/>
      <c r="O19" s="91" t="s">
        <v>236</v>
      </c>
      <c r="P19" s="91">
        <f>'Inputs Residential &amp; Mixed-Use'!D5</f>
        <v>0</v>
      </c>
      <c r="R19" s="8" t="s">
        <v>121</v>
      </c>
      <c r="S19" s="8"/>
      <c r="T19" s="91" t="s">
        <v>236</v>
      </c>
      <c r="U19" s="98">
        <f>'Inputs Residential &amp; Mixed-Use'!D5</f>
        <v>0</v>
      </c>
    </row>
    <row r="20" spans="1:26" x14ac:dyDescent="0.3">
      <c r="C20" s="21" t="s">
        <v>125</v>
      </c>
      <c r="E20" s="15" t="e">
        <f>'Calculations Communal'!C8</f>
        <v>#N/A</v>
      </c>
      <c r="F20" s="15" t="e">
        <f>'Calculations Communal'!G8</f>
        <v>#N/A</v>
      </c>
      <c r="G20" s="15"/>
      <c r="H20" s="15" t="str">
        <f>C20</f>
        <v>Heating &amp; Cooling</v>
      </c>
      <c r="I20" s="15"/>
      <c r="J20" s="15" t="e">
        <f>E20*$J$2/1000</f>
        <v>#N/A</v>
      </c>
      <c r="K20" s="15" t="e">
        <f>(F20*$J$2)/1000</f>
        <v>#N/A</v>
      </c>
      <c r="L20" s="15"/>
      <c r="M20" s="15" t="str">
        <f>H20</f>
        <v>Heating &amp; Cooling</v>
      </c>
      <c r="N20" s="15"/>
      <c r="O20" s="15" t="e">
        <f>E20*$J$2/1000</f>
        <v>#N/A</v>
      </c>
      <c r="P20" s="15" t="e">
        <f>IF('Inputs Residential &amp; Mixed-Use'!$D$17="Whole Development",F20*$J$4/1000, IF('Inputs Residential &amp; Mixed-Use'!$D$17="Base Building",F20*$J$4/1000,F20*$J$2/1000))</f>
        <v>#N/A</v>
      </c>
      <c r="R20" t="str">
        <f>C20</f>
        <v>Heating &amp; Cooling</v>
      </c>
      <c r="T20" s="15" t="e">
        <f t="shared" ref="T20:U22" si="7">E20*$T$2</f>
        <v>#N/A</v>
      </c>
      <c r="U20" s="49" t="e">
        <f t="shared" si="7"/>
        <v>#N/A</v>
      </c>
    </row>
    <row r="21" spans="1:26" x14ac:dyDescent="0.3">
      <c r="C21" s="21" t="s">
        <v>127</v>
      </c>
      <c r="E21" s="15">
        <f>'Calculations Communal'!C14</f>
        <v>0</v>
      </c>
      <c r="F21" s="15">
        <f>'Calculations Communal'!G14</f>
        <v>0</v>
      </c>
      <c r="G21" s="15"/>
      <c r="H21" s="15" t="str">
        <f>C21</f>
        <v>Lighting</v>
      </c>
      <c r="I21" s="15"/>
      <c r="J21" s="15">
        <f>E21*$J$2/1000</f>
        <v>0</v>
      </c>
      <c r="K21" s="15">
        <f>(F21*$J$2)/1000</f>
        <v>0</v>
      </c>
      <c r="L21" s="15"/>
      <c r="M21" s="15" t="str">
        <f>H21</f>
        <v>Lighting</v>
      </c>
      <c r="N21" s="15"/>
      <c r="O21" s="15">
        <f>E21*$J$2/1000</f>
        <v>0</v>
      </c>
      <c r="P21" s="15">
        <f>IF('Inputs Residential &amp; Mixed-Use'!$D$17="Whole Development",F21*$J$4/1000, IF('Inputs Residential &amp; Mixed-Use'!$D$17="Base Building",F21*$J$4/1000,F21*$J$2/1000))</f>
        <v>0</v>
      </c>
      <c r="R21" t="str">
        <f>C21</f>
        <v>Lighting</v>
      </c>
      <c r="T21" s="15">
        <f t="shared" si="7"/>
        <v>0</v>
      </c>
      <c r="U21" s="49">
        <f t="shared" si="7"/>
        <v>0</v>
      </c>
    </row>
    <row r="22" spans="1:26" x14ac:dyDescent="0.3">
      <c r="C22" s="21" t="s">
        <v>165</v>
      </c>
      <c r="E22" s="15">
        <f>'Calculations Communal'!C20</f>
        <v>0</v>
      </c>
      <c r="F22" s="15">
        <f>'Calculations Communal'!G20</f>
        <v>0</v>
      </c>
      <c r="G22" s="15"/>
      <c r="H22" s="15" t="str">
        <f>C22</f>
        <v>Lifts</v>
      </c>
      <c r="I22" s="15"/>
      <c r="J22" s="15">
        <f>E22*$J$2/1000</f>
        <v>0</v>
      </c>
      <c r="K22" s="15">
        <f>(F22*$J$2)/1000</f>
        <v>0</v>
      </c>
      <c r="L22" s="15"/>
      <c r="M22" s="15" t="str">
        <f>H22</f>
        <v>Lifts</v>
      </c>
      <c r="N22" s="15"/>
      <c r="O22" s="15">
        <f>E22*$J$2/1000</f>
        <v>0</v>
      </c>
      <c r="P22" s="15">
        <f>IF('Inputs Residential &amp; Mixed-Use'!$D$17="Whole Development",F22*$J$4/1000, IF('Inputs Residential &amp; Mixed-Use'!$D$17="Base Building",F22*$J$4/1000,F22*$J$2/1000))</f>
        <v>0</v>
      </c>
      <c r="R22" t="str">
        <f>C22</f>
        <v>Lifts</v>
      </c>
      <c r="T22" s="15">
        <f t="shared" si="7"/>
        <v>0</v>
      </c>
      <c r="U22" s="49">
        <f t="shared" si="7"/>
        <v>0</v>
      </c>
    </row>
    <row r="23" spans="1:26" ht="15" thickBot="1" x14ac:dyDescent="0.35">
      <c r="C23" s="41" t="s">
        <v>120</v>
      </c>
      <c r="D23" s="45"/>
      <c r="E23" s="42">
        <f>SUM(E21:E22)</f>
        <v>0</v>
      </c>
      <c r="F23" s="42">
        <f>SUM(F21:F22)</f>
        <v>0</v>
      </c>
      <c r="G23" s="42"/>
      <c r="H23" s="42" t="s">
        <v>120</v>
      </c>
      <c r="I23" s="42"/>
      <c r="J23" s="42" t="e">
        <f>SUM(J20:J22)</f>
        <v>#N/A</v>
      </c>
      <c r="K23" s="42" t="e">
        <f>SUM(K20:K22)</f>
        <v>#N/A</v>
      </c>
      <c r="L23" s="42"/>
      <c r="M23" s="42" t="s">
        <v>120</v>
      </c>
      <c r="N23" s="42"/>
      <c r="O23" s="42" t="e">
        <f>SUM(O20:O22)</f>
        <v>#N/A</v>
      </c>
      <c r="P23" s="42" t="e">
        <f>SUM(P20:P22)</f>
        <v>#N/A</v>
      </c>
      <c r="Q23" s="45"/>
      <c r="R23" s="44" t="str">
        <f>C23</f>
        <v>Total</v>
      </c>
      <c r="S23" s="44"/>
      <c r="T23" s="42" t="e">
        <f>SUM(T20:T22)</f>
        <v>#N/A</v>
      </c>
      <c r="U23" s="50" t="e">
        <f>SUM(U20:U22)</f>
        <v>#N/A</v>
      </c>
    </row>
    <row r="24" spans="1:26" ht="15" thickBot="1" x14ac:dyDescent="0.35"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26" ht="17.399999999999999" x14ac:dyDescent="0.35">
      <c r="C25" s="139" t="s">
        <v>1</v>
      </c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1"/>
    </row>
    <row r="26" spans="1:26" ht="28.8" x14ac:dyDescent="0.3">
      <c r="C26" s="37" t="s">
        <v>138</v>
      </c>
      <c r="D26" s="91"/>
      <c r="E26" s="91" t="s">
        <v>236</v>
      </c>
      <c r="F26" s="91">
        <f>'Inputs Residential &amp; Mixed-Use'!D5</f>
        <v>0</v>
      </c>
      <c r="G26" s="8"/>
      <c r="H26" s="8" t="s">
        <v>140</v>
      </c>
      <c r="I26" s="8"/>
      <c r="J26" s="91" t="s">
        <v>236</v>
      </c>
      <c r="K26" s="91">
        <f>'Inputs Residential &amp; Mixed-Use'!D5</f>
        <v>0</v>
      </c>
      <c r="M26" s="91" t="s">
        <v>228</v>
      </c>
      <c r="N26" s="91"/>
      <c r="O26" s="91" t="s">
        <v>236</v>
      </c>
      <c r="P26" s="91">
        <f>'Inputs Residential &amp; Mixed-Use'!D5</f>
        <v>0</v>
      </c>
      <c r="R26" s="8" t="s">
        <v>134</v>
      </c>
      <c r="S26" s="8"/>
      <c r="T26" s="91" t="s">
        <v>236</v>
      </c>
      <c r="U26" s="98">
        <f>'Inputs Residential &amp; Mixed-Use'!D5</f>
        <v>0</v>
      </c>
    </row>
    <row r="27" spans="1:26" x14ac:dyDescent="0.3">
      <c r="C27" s="21" t="s">
        <v>203</v>
      </c>
      <c r="E27" s="15" t="e">
        <f>'Calculations Retail'!C9</f>
        <v>#N/A</v>
      </c>
      <c r="F27" s="15" t="e">
        <f>'Calculations Retail'!G9</f>
        <v>#N/A</v>
      </c>
      <c r="G27" s="15"/>
      <c r="H27" s="15" t="str">
        <f>C27</f>
        <v>Heating &amp; Cooling (Elec)</v>
      </c>
      <c r="I27" s="15"/>
      <c r="J27" s="15" t="e">
        <f>(E27*$J$2)/1000</f>
        <v>#N/A</v>
      </c>
      <c r="K27" s="15" t="e">
        <f>(F27*$J$2)/1000</f>
        <v>#N/A</v>
      </c>
      <c r="L27" s="15"/>
      <c r="M27" s="15" t="str">
        <f>H27</f>
        <v>Heating &amp; Cooling (Elec)</v>
      </c>
      <c r="N27" s="15"/>
      <c r="O27" s="15" t="e">
        <f>(E27*$J$2)/1000</f>
        <v>#N/A</v>
      </c>
      <c r="P27" s="15" t="e">
        <f>IF('Inputs Residential &amp; Mixed-Use'!$D$17="Whole Development",((F27*$J$4)/1000),((F27*$J$2)/1000))</f>
        <v>#N/A</v>
      </c>
      <c r="R27" t="str">
        <f>C27</f>
        <v>Heating &amp; Cooling (Elec)</v>
      </c>
      <c r="T27" s="38" t="e">
        <f>E27*$T$2</f>
        <v>#N/A</v>
      </c>
      <c r="U27" s="51" t="e">
        <f>F27*$T$2</f>
        <v>#N/A</v>
      </c>
    </row>
    <row r="28" spans="1:26" x14ac:dyDescent="0.3">
      <c r="C28" s="21" t="s">
        <v>204</v>
      </c>
      <c r="E28" s="15">
        <f>'Calculations Retail'!C17*0.277776</f>
        <v>0</v>
      </c>
      <c r="F28" s="117">
        <f>'Calculations Retail'!G17*0.2777776</f>
        <v>0</v>
      </c>
      <c r="G28" s="15"/>
      <c r="H28" t="s">
        <v>204</v>
      </c>
      <c r="J28" s="15">
        <f>('Calculations Retail'!C17*J3)/1000</f>
        <v>0</v>
      </c>
      <c r="K28" s="15">
        <f>(F28*3.6*J3)/1000</f>
        <v>0</v>
      </c>
      <c r="L28" s="15"/>
      <c r="M28" t="s">
        <v>204</v>
      </c>
      <c r="O28" s="15">
        <f>J28</f>
        <v>0</v>
      </c>
      <c r="P28" s="15">
        <f>K28</f>
        <v>0</v>
      </c>
      <c r="R28" t="s">
        <v>204</v>
      </c>
      <c r="T28" s="118">
        <f>'Calculations Retail'!K17*$Y$2</f>
        <v>0</v>
      </c>
      <c r="U28" s="51">
        <f>'Calculations Retail'!O17*$Y$2</f>
        <v>0</v>
      </c>
    </row>
    <row r="29" spans="1:26" x14ac:dyDescent="0.3">
      <c r="C29" s="21" t="s">
        <v>177</v>
      </c>
      <c r="E29" s="15">
        <f>'Calculations Retail'!C21</f>
        <v>0</v>
      </c>
      <c r="F29" s="15">
        <f>'Calculations Retail'!G21</f>
        <v>0</v>
      </c>
      <c r="G29" s="15"/>
      <c r="H29" t="s">
        <v>177</v>
      </c>
      <c r="J29" s="15">
        <f t="shared" ref="J29:K31" si="8">(E29*$J$2)/1000</f>
        <v>0</v>
      </c>
      <c r="K29" s="15">
        <f t="shared" si="8"/>
        <v>0</v>
      </c>
      <c r="L29" s="15"/>
      <c r="M29" t="s">
        <v>177</v>
      </c>
      <c r="O29" s="15">
        <f>(E29*$J$2)/1000</f>
        <v>0</v>
      </c>
      <c r="P29" s="15">
        <f>IF('Inputs Residential &amp; Mixed-Use'!$D$17="Whole Development",((F29*$J$4)/1000),((F29*$J$2)/1000))</f>
        <v>0</v>
      </c>
      <c r="R29" t="s">
        <v>177</v>
      </c>
      <c r="T29" s="38">
        <f t="shared" ref="T29:U31" si="9">E29*$T$2</f>
        <v>0</v>
      </c>
      <c r="U29" s="51">
        <f t="shared" si="9"/>
        <v>0</v>
      </c>
    </row>
    <row r="30" spans="1:26" x14ac:dyDescent="0.3">
      <c r="C30" s="21" t="s">
        <v>127</v>
      </c>
      <c r="E30" s="15">
        <f>'Calculations Retail'!C27</f>
        <v>0</v>
      </c>
      <c r="F30" s="15">
        <f>'Calculations Retail'!G27</f>
        <v>0</v>
      </c>
      <c r="G30" s="15"/>
      <c r="H30" s="15" t="str">
        <f>C30</f>
        <v>Lighting</v>
      </c>
      <c r="I30" s="15"/>
      <c r="J30" s="15">
        <f t="shared" si="8"/>
        <v>0</v>
      </c>
      <c r="K30" s="15">
        <f t="shared" si="8"/>
        <v>0</v>
      </c>
      <c r="L30" s="15"/>
      <c r="M30" s="15" t="str">
        <f>H30</f>
        <v>Lighting</v>
      </c>
      <c r="N30" s="15"/>
      <c r="O30" s="15">
        <f>(E30*$J$2)/1000</f>
        <v>0</v>
      </c>
      <c r="P30" s="15">
        <f>IF('Inputs Residential &amp; Mixed-Use'!$D$17="Whole Development",((F30*$J$4)/1000),((F30*$J$2)/1000))</f>
        <v>0</v>
      </c>
      <c r="R30" t="str">
        <f>C30</f>
        <v>Lighting</v>
      </c>
      <c r="T30" s="38">
        <f t="shared" si="9"/>
        <v>0</v>
      </c>
      <c r="U30" s="51">
        <f t="shared" si="9"/>
        <v>0</v>
      </c>
    </row>
    <row r="31" spans="1:26" x14ac:dyDescent="0.3">
      <c r="C31" s="21" t="s">
        <v>128</v>
      </c>
      <c r="E31" s="15">
        <f>'Calculations Retail'!C38</f>
        <v>0</v>
      </c>
      <c r="F31" s="15">
        <f>'Calculations Retail'!G38</f>
        <v>0</v>
      </c>
      <c r="G31" s="15"/>
      <c r="H31" s="15" t="str">
        <f>C31</f>
        <v>Hot Water</v>
      </c>
      <c r="I31" s="15"/>
      <c r="J31" s="15">
        <f t="shared" si="8"/>
        <v>0</v>
      </c>
      <c r="K31" s="15">
        <f t="shared" si="8"/>
        <v>0</v>
      </c>
      <c r="L31" s="15"/>
      <c r="M31" s="15" t="str">
        <f>H31</f>
        <v>Hot Water</v>
      </c>
      <c r="N31" s="15"/>
      <c r="O31" s="15">
        <f>(E31*$J$2)/1000</f>
        <v>0</v>
      </c>
      <c r="P31" s="15">
        <f>IF('Inputs Residential &amp; Mixed-Use'!$D$17="Whole Development",((F31*$J$4)/1000),((F31*$J$2)/1000))</f>
        <v>0</v>
      </c>
      <c r="R31" t="str">
        <f>C31</f>
        <v>Hot Water</v>
      </c>
      <c r="T31" s="38">
        <f t="shared" si="9"/>
        <v>0</v>
      </c>
      <c r="U31" s="51">
        <f t="shared" si="9"/>
        <v>0</v>
      </c>
    </row>
    <row r="32" spans="1:26" s="1" customFormat="1" x14ac:dyDescent="0.3">
      <c r="A32"/>
      <c r="B32"/>
      <c r="C32" s="21" t="s">
        <v>42</v>
      </c>
      <c r="D32"/>
      <c r="E32" s="15">
        <f>'Calculations Retail'!C46*0.277776</f>
        <v>17519.887872000003</v>
      </c>
      <c r="F32" s="15" t="e">
        <f>IF('Calculations Retail'!G42="Gas",'Calculations Retail'!G46*0.277776,'Calculations Retail'!G46)</f>
        <v>#N/A</v>
      </c>
      <c r="G32" s="15"/>
      <c r="H32" s="15" t="str">
        <f>C32</f>
        <v>Cooktops</v>
      </c>
      <c r="I32" s="15"/>
      <c r="J32" s="15">
        <f>(E32*3.6*$J$3)/1000</f>
        <v>3.2500793593589763</v>
      </c>
      <c r="K32" s="15" t="e">
        <f>IF('Calculations Retail'!G42="Gas",((F32*3.6*$J$3)/1000),((F32*$J$2)/1000))</f>
        <v>#N/A</v>
      </c>
      <c r="L32" s="15"/>
      <c r="M32" s="15" t="str">
        <f>H32</f>
        <v>Cooktops</v>
      </c>
      <c r="N32" s="15"/>
      <c r="O32" s="15">
        <f>(E32*$J$3)/1000</f>
        <v>0.90279982204416009</v>
      </c>
      <c r="P32" s="15" t="e">
        <f>IF('Calculations Retail'!G42="Gas",(J32),IF('Inputs Residential &amp; Mixed-Use'!D17="Whole Development",((F32*$J$4)/1000),((F32*$J$2)/1000)))</f>
        <v>#N/A</v>
      </c>
      <c r="Q32"/>
      <c r="R32" t="str">
        <f>C32</f>
        <v>Cooktops</v>
      </c>
      <c r="S32"/>
      <c r="T32" s="52">
        <f>E32*3.6*$Y$2</f>
        <v>2207.5058718720006</v>
      </c>
      <c r="U32" s="53" t="e">
        <f>IF('Calculations Retail'!G42="Gas",'Totals Residential &amp; Mixed-Use'!F32*3.6*'Totals Residential &amp; Mixed-Use'!Y2,'Totals Residential &amp; Mixed-Use'!F32*$T$2)</f>
        <v>#N/A</v>
      </c>
    </row>
    <row r="33" spans="3:21" ht="15" thickBot="1" x14ac:dyDescent="0.35">
      <c r="C33" s="41" t="s">
        <v>120</v>
      </c>
      <c r="D33" s="45"/>
      <c r="E33" s="42" t="e">
        <f>SUM(E27:E32)</f>
        <v>#N/A</v>
      </c>
      <c r="F33" s="42" t="e">
        <f>SUM(F27:F32)</f>
        <v>#N/A</v>
      </c>
      <c r="G33" s="42"/>
      <c r="H33" s="42" t="str">
        <f>C33</f>
        <v>Total</v>
      </c>
      <c r="I33" s="42"/>
      <c r="J33" s="42" t="e">
        <f>SUM(J27:J32)</f>
        <v>#N/A</v>
      </c>
      <c r="K33" s="42" t="e">
        <f>SUM(K27:K32)</f>
        <v>#N/A</v>
      </c>
      <c r="L33" s="42"/>
      <c r="M33" s="42" t="str">
        <f>H33</f>
        <v>Total</v>
      </c>
      <c r="N33" s="42"/>
      <c r="O33" s="42" t="e">
        <f>SUM(O27:O32)</f>
        <v>#N/A</v>
      </c>
      <c r="P33" s="42" t="e">
        <f>SUM(P27:P32)</f>
        <v>#N/A</v>
      </c>
      <c r="Q33" s="45"/>
      <c r="R33" s="45" t="str">
        <f>C33</f>
        <v>Total</v>
      </c>
      <c r="S33" s="45"/>
      <c r="T33" s="46" t="e">
        <f>E33*$T$2</f>
        <v>#N/A</v>
      </c>
      <c r="U33" s="54" t="e">
        <f>F33*$T$2</f>
        <v>#N/A</v>
      </c>
    </row>
    <row r="34" spans="3:21" ht="15" thickBot="1" x14ac:dyDescent="0.35"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3:21" ht="17.399999999999999" x14ac:dyDescent="0.35">
      <c r="C35" s="139" t="s">
        <v>2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1"/>
    </row>
    <row r="36" spans="3:21" ht="28.8" x14ac:dyDescent="0.3">
      <c r="C36" s="37" t="s">
        <v>138</v>
      </c>
      <c r="D36" s="91"/>
      <c r="E36" s="91" t="s">
        <v>236</v>
      </c>
      <c r="F36" s="91">
        <f>'Inputs Residential &amp; Mixed-Use'!D5</f>
        <v>0</v>
      </c>
      <c r="G36" s="8"/>
      <c r="H36" s="8" t="s">
        <v>140</v>
      </c>
      <c r="I36" s="8"/>
      <c r="J36" s="91" t="s">
        <v>236</v>
      </c>
      <c r="K36" s="91">
        <f>'Inputs Residential &amp; Mixed-Use'!D5</f>
        <v>0</v>
      </c>
      <c r="M36" s="91" t="s">
        <v>228</v>
      </c>
      <c r="N36" s="91"/>
      <c r="O36" s="91" t="s">
        <v>236</v>
      </c>
      <c r="P36" s="91">
        <f>'Inputs Residential &amp; Mixed-Use'!D5</f>
        <v>0</v>
      </c>
      <c r="R36" s="8" t="s">
        <v>134</v>
      </c>
      <c r="S36" s="8"/>
      <c r="T36" s="91" t="s">
        <v>236</v>
      </c>
      <c r="U36" s="98">
        <f>'Inputs Residential &amp; Mixed-Use'!D5</f>
        <v>0</v>
      </c>
    </row>
    <row r="37" spans="3:21" x14ac:dyDescent="0.3">
      <c r="C37" s="21" t="s">
        <v>203</v>
      </c>
      <c r="E37" s="15" t="e">
        <f>'Calculations Office'!C9</f>
        <v>#N/A</v>
      </c>
      <c r="F37" s="15" t="e">
        <f>'Calculations Office'!G9</f>
        <v>#N/A</v>
      </c>
      <c r="G37" s="15"/>
      <c r="H37" s="15" t="str">
        <f>C37</f>
        <v>Heating &amp; Cooling (Elec)</v>
      </c>
      <c r="I37" s="15"/>
      <c r="J37" s="15" t="e">
        <f>(E37*$J$2)/1000</f>
        <v>#N/A</v>
      </c>
      <c r="K37" s="15" t="e">
        <f>(F37*$J$2)/1000</f>
        <v>#N/A</v>
      </c>
      <c r="L37" s="15"/>
      <c r="M37" s="15" t="str">
        <f>H37</f>
        <v>Heating &amp; Cooling (Elec)</v>
      </c>
      <c r="N37" s="15"/>
      <c r="O37" s="15" t="e">
        <f t="shared" ref="O37:O42" si="10">(E37*$J$2)/1000</f>
        <v>#N/A</v>
      </c>
      <c r="P37" s="15" t="e">
        <f>IF('Inputs Residential &amp; Mixed-Use'!$D$17="Whole Development",((F37*$J$4)/1000),((F37*$J$2)/1000))</f>
        <v>#N/A</v>
      </c>
      <c r="R37" t="str">
        <f>C37</f>
        <v>Heating &amp; Cooling (Elec)</v>
      </c>
      <c r="T37" s="38" t="e">
        <f>E37*$T$2</f>
        <v>#N/A</v>
      </c>
      <c r="U37" s="51" t="e">
        <f>F37*$T$2</f>
        <v>#N/A</v>
      </c>
    </row>
    <row r="38" spans="3:21" x14ac:dyDescent="0.3">
      <c r="C38" s="21" t="s">
        <v>204</v>
      </c>
      <c r="E38" s="15">
        <f>'Calculations Office'!C17*0.277776</f>
        <v>0</v>
      </c>
      <c r="F38" s="15">
        <f>'Calculations Office'!G17*0.277776</f>
        <v>0</v>
      </c>
      <c r="G38" s="15"/>
      <c r="H38" s="15" t="str">
        <f>C38</f>
        <v>Heating &amp; Cooling (Gas)</v>
      </c>
      <c r="I38" s="15"/>
      <c r="J38" s="15">
        <f>('Calculations Office'!G17*J3)/1000</f>
        <v>0</v>
      </c>
      <c r="K38" s="15">
        <f>(F38*3.6*J3)/1000</f>
        <v>0</v>
      </c>
      <c r="L38" s="15"/>
      <c r="M38" s="15" t="str">
        <f>H38</f>
        <v>Heating &amp; Cooling (Gas)</v>
      </c>
      <c r="N38" s="15"/>
      <c r="O38" s="15">
        <f>J38</f>
        <v>0</v>
      </c>
      <c r="P38" s="15">
        <f>K38</f>
        <v>0</v>
      </c>
      <c r="R38" t="str">
        <f>C38</f>
        <v>Heating &amp; Cooling (Gas)</v>
      </c>
      <c r="T38" s="118">
        <f>'Calculations Office'!K17*Y2</f>
        <v>0</v>
      </c>
      <c r="U38" s="118">
        <f>'Calculations Office'!O17*Y2</f>
        <v>0</v>
      </c>
    </row>
    <row r="39" spans="3:21" x14ac:dyDescent="0.3">
      <c r="C39" s="21" t="s">
        <v>177</v>
      </c>
      <c r="E39" s="15">
        <f>'Calculations Office'!C21</f>
        <v>0</v>
      </c>
      <c r="F39" s="15">
        <f>'Calculations Office'!G21</f>
        <v>0</v>
      </c>
      <c r="G39" s="15"/>
      <c r="H39" t="s">
        <v>177</v>
      </c>
      <c r="J39" s="15">
        <f t="shared" ref="J39:K42" si="11">(E39*$J$2)/1000</f>
        <v>0</v>
      </c>
      <c r="K39" s="15">
        <f t="shared" si="11"/>
        <v>0</v>
      </c>
      <c r="L39" s="15"/>
      <c r="M39" t="s">
        <v>177</v>
      </c>
      <c r="O39" s="15">
        <f t="shared" si="10"/>
        <v>0</v>
      </c>
      <c r="P39" s="15">
        <f>IF('Inputs Residential &amp; Mixed-Use'!$D$17="Whole Development",((F39*$J$4)/1000),((F39*$J$2)/1000))</f>
        <v>0</v>
      </c>
      <c r="R39" t="s">
        <v>177</v>
      </c>
      <c r="T39" s="38">
        <f t="shared" ref="T39:U42" si="12">E39*$T$2</f>
        <v>0</v>
      </c>
      <c r="U39" s="51">
        <f t="shared" si="12"/>
        <v>0</v>
      </c>
    </row>
    <row r="40" spans="3:21" x14ac:dyDescent="0.3">
      <c r="C40" s="21" t="s">
        <v>126</v>
      </c>
      <c r="E40" s="15">
        <f>'Calculations Office'!C27</f>
        <v>0</v>
      </c>
      <c r="F40" s="15">
        <f>'Calculations Office'!G27</f>
        <v>0</v>
      </c>
      <c r="G40" s="15"/>
      <c r="H40" s="15" t="str">
        <f>C40</f>
        <v>Appliances</v>
      </c>
      <c r="I40" s="15"/>
      <c r="J40" s="15">
        <f t="shared" si="11"/>
        <v>0</v>
      </c>
      <c r="K40" s="15">
        <f t="shared" si="11"/>
        <v>0</v>
      </c>
      <c r="L40" s="15"/>
      <c r="M40" s="15" t="str">
        <f>H40</f>
        <v>Appliances</v>
      </c>
      <c r="N40" s="15"/>
      <c r="O40" s="15">
        <f t="shared" si="10"/>
        <v>0</v>
      </c>
      <c r="P40" s="15">
        <f>IF('Inputs Residential &amp; Mixed-Use'!$D$17="Whole Development",((F40*$J$4)/1000),((F40*$J$2)/1000))</f>
        <v>0</v>
      </c>
      <c r="R40" t="str">
        <f>C40</f>
        <v>Appliances</v>
      </c>
      <c r="T40" s="38">
        <f t="shared" si="12"/>
        <v>0</v>
      </c>
      <c r="U40" s="51">
        <f t="shared" si="12"/>
        <v>0</v>
      </c>
    </row>
    <row r="41" spans="3:21" x14ac:dyDescent="0.3">
      <c r="C41" s="21" t="s">
        <v>127</v>
      </c>
      <c r="E41" s="15">
        <f>'Calculations Office'!C33</f>
        <v>0</v>
      </c>
      <c r="F41" s="15">
        <f>'Calculations Office'!G33</f>
        <v>0</v>
      </c>
      <c r="G41" s="15"/>
      <c r="H41" s="15" t="str">
        <f>C41</f>
        <v>Lighting</v>
      </c>
      <c r="I41" s="15"/>
      <c r="J41" s="15">
        <f t="shared" si="11"/>
        <v>0</v>
      </c>
      <c r="K41" s="15">
        <f t="shared" si="11"/>
        <v>0</v>
      </c>
      <c r="L41" s="15"/>
      <c r="M41" s="15" t="str">
        <f>H41</f>
        <v>Lighting</v>
      </c>
      <c r="N41" s="15"/>
      <c r="O41" s="15">
        <f t="shared" si="10"/>
        <v>0</v>
      </c>
      <c r="P41" s="15">
        <f>IF('Inputs Residential &amp; Mixed-Use'!$D$17="Whole Development",((F41*$J$4)/1000),((F41*$J$2)/1000))</f>
        <v>0</v>
      </c>
      <c r="R41" t="str">
        <f>C41</f>
        <v>Lighting</v>
      </c>
      <c r="T41" s="38">
        <f t="shared" si="12"/>
        <v>0</v>
      </c>
      <c r="U41" s="51">
        <f t="shared" si="12"/>
        <v>0</v>
      </c>
    </row>
    <row r="42" spans="3:21" x14ac:dyDescent="0.3">
      <c r="C42" s="21" t="s">
        <v>128</v>
      </c>
      <c r="E42" s="15">
        <f>'Calculations Office'!C44</f>
        <v>0</v>
      </c>
      <c r="F42" s="15">
        <f>'Calculations Office'!G44</f>
        <v>0</v>
      </c>
      <c r="G42" s="15"/>
      <c r="H42" s="15" t="str">
        <f>C42</f>
        <v>Hot Water</v>
      </c>
      <c r="I42" s="15"/>
      <c r="J42" s="15">
        <f t="shared" si="11"/>
        <v>0</v>
      </c>
      <c r="K42" s="15">
        <f t="shared" si="11"/>
        <v>0</v>
      </c>
      <c r="L42" s="15"/>
      <c r="M42" s="15" t="str">
        <f>H42</f>
        <v>Hot Water</v>
      </c>
      <c r="N42" s="15"/>
      <c r="O42" s="15">
        <f t="shared" si="10"/>
        <v>0</v>
      </c>
      <c r="P42" s="15">
        <f>IF('Inputs Residential &amp; Mixed-Use'!$D$17="Whole Development",((F42*$J$4)/1000),((F42*$J$2)/1000))</f>
        <v>0</v>
      </c>
      <c r="R42" t="str">
        <f>C42</f>
        <v>Hot Water</v>
      </c>
      <c r="T42" s="38">
        <f t="shared" si="12"/>
        <v>0</v>
      </c>
      <c r="U42" s="51">
        <f t="shared" si="12"/>
        <v>0</v>
      </c>
    </row>
    <row r="43" spans="3:21" ht="15" thickBot="1" x14ac:dyDescent="0.35">
      <c r="C43" s="41" t="s">
        <v>120</v>
      </c>
      <c r="D43" s="45"/>
      <c r="E43" s="42" t="e">
        <f>SUM(E37:E42)</f>
        <v>#N/A</v>
      </c>
      <c r="F43" s="42" t="e">
        <f>SUM(F37:F42)</f>
        <v>#N/A</v>
      </c>
      <c r="G43" s="42"/>
      <c r="H43" s="42" t="str">
        <f>C43</f>
        <v>Total</v>
      </c>
      <c r="I43" s="42"/>
      <c r="J43" s="42" t="e">
        <f>SUM(J37:J42)</f>
        <v>#N/A</v>
      </c>
      <c r="K43" s="42" t="e">
        <f>SUM(K37:K42)</f>
        <v>#N/A</v>
      </c>
      <c r="L43" s="42"/>
      <c r="M43" s="42" t="str">
        <f>H43</f>
        <v>Total</v>
      </c>
      <c r="N43" s="42"/>
      <c r="O43" s="42" t="e">
        <f>SUM(O37:O42)</f>
        <v>#N/A</v>
      </c>
      <c r="P43" s="42" t="e">
        <f>SUM(P37:P42)</f>
        <v>#N/A</v>
      </c>
      <c r="Q43" s="45"/>
      <c r="R43" s="45" t="str">
        <f>C43</f>
        <v>Total</v>
      </c>
      <c r="S43" s="45"/>
      <c r="T43" s="46" t="e">
        <f>E43</f>
        <v>#N/A</v>
      </c>
      <c r="U43" s="54" t="e">
        <f>F43</f>
        <v>#N/A</v>
      </c>
    </row>
    <row r="44" spans="3:21" ht="15" thickBot="1" x14ac:dyDescent="0.35">
      <c r="C44" s="1"/>
      <c r="D44" s="1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"/>
      <c r="R44" s="1"/>
      <c r="S44" s="1"/>
      <c r="T44" s="19"/>
      <c r="U44" s="19"/>
    </row>
    <row r="45" spans="3:21" ht="17.399999999999999" x14ac:dyDescent="0.35">
      <c r="C45" s="139" t="s">
        <v>173</v>
      </c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1"/>
    </row>
    <row r="46" spans="3:21" ht="28.8" x14ac:dyDescent="0.3">
      <c r="C46" s="37" t="s">
        <v>138</v>
      </c>
      <c r="D46" s="8"/>
      <c r="E46" s="91" t="s">
        <v>236</v>
      </c>
      <c r="F46" s="91">
        <f>'Inputs Residential &amp; Mixed-Use'!D5</f>
        <v>0</v>
      </c>
      <c r="G46" s="8"/>
      <c r="H46" s="8" t="s">
        <v>140</v>
      </c>
      <c r="I46" s="8"/>
      <c r="J46" s="8" t="s">
        <v>236</v>
      </c>
      <c r="K46" s="8">
        <f>'Inputs Residential &amp; Mixed-Use'!D5</f>
        <v>0</v>
      </c>
      <c r="M46" s="91" t="s">
        <v>228</v>
      </c>
      <c r="N46" s="91"/>
      <c r="O46" s="91" t="s">
        <v>236</v>
      </c>
      <c r="P46" s="91">
        <f>'Inputs Residential &amp; Mixed-Use'!D5</f>
        <v>0</v>
      </c>
      <c r="R46" s="8" t="s">
        <v>134</v>
      </c>
      <c r="S46" s="8"/>
      <c r="T46" s="91" t="s">
        <v>236</v>
      </c>
      <c r="U46" s="98">
        <f>'Inputs Residential &amp; Mixed-Use'!D5</f>
        <v>0</v>
      </c>
    </row>
    <row r="47" spans="3:21" x14ac:dyDescent="0.3">
      <c r="C47" s="21" t="s">
        <v>174</v>
      </c>
      <c r="E47" s="15">
        <f>'Calculations C&amp;S'!C4</f>
        <v>0</v>
      </c>
      <c r="F47" s="15">
        <f>'Calculations C&amp;S'!G4</f>
        <v>0</v>
      </c>
      <c r="G47" s="15"/>
      <c r="H47" t="s">
        <v>174</v>
      </c>
      <c r="J47" s="15">
        <f>(E47*$J$2)/1000</f>
        <v>0</v>
      </c>
      <c r="K47" s="15">
        <f>(F47*$J$2)/1000</f>
        <v>0</v>
      </c>
      <c r="L47" s="15"/>
      <c r="M47" t="s">
        <v>174</v>
      </c>
      <c r="O47" s="15">
        <f>(E47*$J$2)/1000</f>
        <v>0</v>
      </c>
      <c r="P47" s="15">
        <f>IF('Inputs Residential &amp; Mixed-Use'!$D$17="Whole Development",F47*$J$4/1000, IF('Inputs Residential &amp; Mixed-Use'!$D$17="Base Building",F47*$J$4/1000,F47*$J$2/1000))</f>
        <v>0</v>
      </c>
      <c r="R47" t="s">
        <v>174</v>
      </c>
      <c r="T47" s="52">
        <f>E47*$T$2</f>
        <v>0</v>
      </c>
      <c r="U47" s="53">
        <f>F47*$T$2</f>
        <v>0</v>
      </c>
    </row>
    <row r="48" spans="3:21" x14ac:dyDescent="0.3">
      <c r="C48" s="21" t="s">
        <v>127</v>
      </c>
      <c r="E48" s="15">
        <f>'Calculations C&amp;S'!C10+'Calculations C&amp;S'!C16</f>
        <v>0</v>
      </c>
      <c r="F48" s="15">
        <f>'Calculations C&amp;S'!G10+'Calculations C&amp;S'!G16</f>
        <v>0</v>
      </c>
      <c r="G48" s="15"/>
      <c r="H48" t="s">
        <v>127</v>
      </c>
      <c r="J48" s="15">
        <f>(E48*$J$2)/1000</f>
        <v>0</v>
      </c>
      <c r="K48" s="15">
        <f>(F48*$J$2)/1000</f>
        <v>0</v>
      </c>
      <c r="L48" s="15"/>
      <c r="M48" t="s">
        <v>127</v>
      </c>
      <c r="O48" s="15">
        <f>(E48*$J$2)/1000</f>
        <v>0</v>
      </c>
      <c r="P48" s="15">
        <f>IF('Inputs Residential &amp; Mixed-Use'!$D$17="Whole Development",F48*$J$4/1000, IF('Inputs Residential &amp; Mixed-Use'!$D$17="Base Building",F48*$J$4/1000,F48*$J$2/1000))</f>
        <v>0</v>
      </c>
      <c r="R48" t="s">
        <v>127</v>
      </c>
      <c r="T48" s="52">
        <f>E48*$T$2</f>
        <v>0</v>
      </c>
      <c r="U48" s="53">
        <f>F48*$T$2</f>
        <v>0</v>
      </c>
    </row>
    <row r="49" spans="3:21" ht="15" thickBot="1" x14ac:dyDescent="0.35">
      <c r="C49" s="41" t="s">
        <v>120</v>
      </c>
      <c r="D49" s="45"/>
      <c r="E49" s="42">
        <f>SUM(E47:E48)</f>
        <v>0</v>
      </c>
      <c r="F49" s="42">
        <f>SUM(F47:F48)</f>
        <v>0</v>
      </c>
      <c r="G49" s="42"/>
      <c r="H49" s="45" t="s">
        <v>120</v>
      </c>
      <c r="I49" s="45"/>
      <c r="J49" s="42">
        <f>SUM(J47:J48)</f>
        <v>0</v>
      </c>
      <c r="K49" s="42">
        <f>SUM(K47:K48)</f>
        <v>0</v>
      </c>
      <c r="L49" s="42"/>
      <c r="M49" s="45" t="s">
        <v>120</v>
      </c>
      <c r="N49" s="45"/>
      <c r="O49" s="42">
        <f>SUM(O47:O48)</f>
        <v>0</v>
      </c>
      <c r="P49" s="42">
        <f>SUM(P47:P48)</f>
        <v>0</v>
      </c>
      <c r="Q49" s="45"/>
      <c r="R49" s="45" t="s">
        <v>120</v>
      </c>
      <c r="S49" s="45"/>
      <c r="T49" s="46">
        <f>SUM(T47:T48)</f>
        <v>0</v>
      </c>
      <c r="U49" s="54">
        <f>SUM(U47:U48)</f>
        <v>0</v>
      </c>
    </row>
    <row r="50" spans="3:21" ht="15" thickBot="1" x14ac:dyDescent="0.35"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3:21" ht="17.399999999999999" x14ac:dyDescent="0.35">
      <c r="C51" s="139" t="s">
        <v>129</v>
      </c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1"/>
    </row>
    <row r="52" spans="3:21" ht="15" thickBot="1" x14ac:dyDescent="0.35">
      <c r="C52" s="22" t="s">
        <v>139</v>
      </c>
      <c r="D52" s="44"/>
      <c r="E52" s="43">
        <v>0</v>
      </c>
      <c r="F52" s="43">
        <f>IF('Inputs Residential &amp; Mixed-Use'!D40=0,('Inputs Residential &amp; Mixed-Use'!D41*'Inputs Residential &amp; Mixed-Use'!D6*-1),('Inputs Residential &amp; Mixed-Use'!D40*-1))</f>
        <v>0</v>
      </c>
      <c r="G52" s="43"/>
      <c r="H52" s="43" t="s">
        <v>280</v>
      </c>
      <c r="I52" s="43"/>
      <c r="J52" s="43">
        <f>(E52*$J$2)/1000</f>
        <v>0</v>
      </c>
      <c r="K52" s="43">
        <f>(F52*$J$2)/1000</f>
        <v>0</v>
      </c>
      <c r="L52" s="43"/>
      <c r="M52" s="43" t="str">
        <f>H52</f>
        <v>Solar (eqtCO2)</v>
      </c>
      <c r="N52" s="43"/>
      <c r="O52" s="43">
        <f>(J52*$J$2)/1000</f>
        <v>0</v>
      </c>
      <c r="P52" s="43">
        <f>(F52*$J$2)/1000</f>
        <v>0</v>
      </c>
      <c r="Q52" s="44"/>
      <c r="R52" s="44" t="str">
        <f>C52</f>
        <v>Solar (kWh/yr)</v>
      </c>
      <c r="S52" s="44"/>
      <c r="T52" s="43">
        <f>E52*$T$2</f>
        <v>0</v>
      </c>
      <c r="U52" s="55">
        <f>F52*$T$2</f>
        <v>0</v>
      </c>
    </row>
    <row r="53" spans="3:21" ht="15" thickBot="1" x14ac:dyDescent="0.35"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3:21" ht="17.399999999999999" x14ac:dyDescent="0.35">
      <c r="C54" s="139" t="s">
        <v>137</v>
      </c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1"/>
    </row>
    <row r="55" spans="3:21" ht="28.8" x14ac:dyDescent="0.3">
      <c r="C55" s="37" t="s">
        <v>138</v>
      </c>
      <c r="D55" s="91" t="s">
        <v>233</v>
      </c>
      <c r="E55" s="91" t="s">
        <v>236</v>
      </c>
      <c r="F55" s="91">
        <f>'Inputs Residential &amp; Mixed-Use'!D5</f>
        <v>0</v>
      </c>
      <c r="G55" s="8"/>
      <c r="H55" s="8" t="s">
        <v>140</v>
      </c>
      <c r="I55" s="91" t="s">
        <v>233</v>
      </c>
      <c r="J55" s="91" t="s">
        <v>236</v>
      </c>
      <c r="K55" s="91">
        <f>'Inputs Residential &amp; Mixed-Use'!D5</f>
        <v>0</v>
      </c>
      <c r="M55" s="91" t="s">
        <v>228</v>
      </c>
      <c r="N55" s="91" t="s">
        <v>233</v>
      </c>
      <c r="O55" s="91" t="s">
        <v>236</v>
      </c>
      <c r="P55" s="91" t="s">
        <v>247</v>
      </c>
      <c r="R55" s="8" t="s">
        <v>134</v>
      </c>
      <c r="S55" s="91" t="s">
        <v>233</v>
      </c>
      <c r="T55" s="91" t="s">
        <v>236</v>
      </c>
      <c r="U55" s="98">
        <f>'Inputs Residential &amp; Mixed-Use'!D5</f>
        <v>0</v>
      </c>
    </row>
    <row r="56" spans="3:21" x14ac:dyDescent="0.3">
      <c r="C56" s="21" t="s">
        <v>16</v>
      </c>
      <c r="D56" s="15" t="e">
        <f>D15</f>
        <v>#N/A</v>
      </c>
      <c r="E56" s="15" t="e">
        <f>E15</f>
        <v>#N/A</v>
      </c>
      <c r="F56" s="15" t="e">
        <f>F15</f>
        <v>#N/A</v>
      </c>
      <c r="G56" s="15"/>
      <c r="H56" s="15" t="str">
        <f t="shared" ref="H56:H62" si="13">C56</f>
        <v>Residential</v>
      </c>
      <c r="I56" s="15" t="e">
        <f>I15</f>
        <v>#N/A</v>
      </c>
      <c r="J56" s="15" t="e">
        <f>J15</f>
        <v>#N/A</v>
      </c>
      <c r="K56" s="15" t="e">
        <f>K15</f>
        <v>#N/A</v>
      </c>
      <c r="L56" s="15"/>
      <c r="M56" s="15" t="str">
        <f>H56</f>
        <v>Residential</v>
      </c>
      <c r="N56" s="15" t="e">
        <f>N15</f>
        <v>#N/A</v>
      </c>
      <c r="O56" s="15" t="e">
        <f>O15</f>
        <v>#N/A</v>
      </c>
      <c r="P56" s="15" t="e">
        <f>P15</f>
        <v>#N/A</v>
      </c>
      <c r="Q56" s="15"/>
      <c r="R56" t="s">
        <v>16</v>
      </c>
      <c r="S56" s="15" t="e">
        <f>S15</f>
        <v>#N/A</v>
      </c>
      <c r="T56" s="15" t="e">
        <f>T15</f>
        <v>#N/A</v>
      </c>
      <c r="U56" s="49" t="e">
        <f>U15</f>
        <v>#N/A</v>
      </c>
    </row>
    <row r="57" spans="3:21" x14ac:dyDescent="0.3">
      <c r="C57" s="21" t="s">
        <v>169</v>
      </c>
      <c r="D57" s="15">
        <f>E57</f>
        <v>0</v>
      </c>
      <c r="E57" s="15">
        <f>E23</f>
        <v>0</v>
      </c>
      <c r="F57" s="15">
        <f>F23</f>
        <v>0</v>
      </c>
      <c r="G57" s="15"/>
      <c r="H57" s="15" t="str">
        <f t="shared" si="13"/>
        <v>Communal</v>
      </c>
      <c r="I57" s="15" t="e">
        <f>J57</f>
        <v>#N/A</v>
      </c>
      <c r="J57" s="15" t="e">
        <f>J23</f>
        <v>#N/A</v>
      </c>
      <c r="K57" s="15" t="e">
        <f>K23</f>
        <v>#N/A</v>
      </c>
      <c r="L57" s="15"/>
      <c r="M57" t="s">
        <v>169</v>
      </c>
      <c r="N57" s="15" t="e">
        <f>O57</f>
        <v>#N/A</v>
      </c>
      <c r="O57" s="15" t="e">
        <f>O23</f>
        <v>#N/A</v>
      </c>
      <c r="P57" s="15" t="e">
        <f>P23</f>
        <v>#N/A</v>
      </c>
      <c r="Q57" s="15"/>
      <c r="R57" t="s">
        <v>169</v>
      </c>
      <c r="S57" s="15" t="e">
        <f>T57</f>
        <v>#N/A</v>
      </c>
      <c r="T57" s="15" t="e">
        <f>T23</f>
        <v>#N/A</v>
      </c>
      <c r="U57" s="49" t="e">
        <f>U23</f>
        <v>#N/A</v>
      </c>
    </row>
    <row r="58" spans="3:21" x14ac:dyDescent="0.3">
      <c r="C58" s="21" t="s">
        <v>1</v>
      </c>
      <c r="D58" s="15" t="e">
        <f>E58</f>
        <v>#N/A</v>
      </c>
      <c r="E58" s="15" t="e">
        <f>E33</f>
        <v>#N/A</v>
      </c>
      <c r="F58" s="15" t="e">
        <f>F33</f>
        <v>#N/A</v>
      </c>
      <c r="G58" s="15"/>
      <c r="H58" s="15" t="str">
        <f t="shared" si="13"/>
        <v>Retail</v>
      </c>
      <c r="I58" s="15" t="e">
        <f>J58</f>
        <v>#N/A</v>
      </c>
      <c r="J58" s="15" t="e">
        <f>J33</f>
        <v>#N/A</v>
      </c>
      <c r="K58" s="15" t="e">
        <f>K33</f>
        <v>#N/A</v>
      </c>
      <c r="L58" s="15"/>
      <c r="M58" s="15" t="str">
        <f>H58</f>
        <v>Retail</v>
      </c>
      <c r="N58" s="15" t="e">
        <f>O58</f>
        <v>#N/A</v>
      </c>
      <c r="O58" s="15" t="e">
        <f>O33</f>
        <v>#N/A</v>
      </c>
      <c r="P58" s="15" t="e">
        <f>P33</f>
        <v>#N/A</v>
      </c>
      <c r="Q58" s="15"/>
      <c r="R58" t="s">
        <v>1</v>
      </c>
      <c r="S58" s="15" t="e">
        <f>T58</f>
        <v>#N/A</v>
      </c>
      <c r="T58" s="15" t="e">
        <f>T33</f>
        <v>#N/A</v>
      </c>
      <c r="U58" s="49" t="e">
        <f>U33</f>
        <v>#N/A</v>
      </c>
    </row>
    <row r="59" spans="3:21" x14ac:dyDescent="0.3">
      <c r="C59" s="21" t="s">
        <v>2</v>
      </c>
      <c r="D59" s="15" t="e">
        <f>E59</f>
        <v>#N/A</v>
      </c>
      <c r="E59" s="15" t="e">
        <f>E43</f>
        <v>#N/A</v>
      </c>
      <c r="F59" s="15" t="e">
        <f>F43</f>
        <v>#N/A</v>
      </c>
      <c r="G59" s="15"/>
      <c r="H59" s="15" t="str">
        <f t="shared" si="13"/>
        <v>Office</v>
      </c>
      <c r="I59" s="15" t="e">
        <f>J59</f>
        <v>#N/A</v>
      </c>
      <c r="J59" s="15" t="e">
        <f>J43</f>
        <v>#N/A</v>
      </c>
      <c r="K59" s="15" t="e">
        <f>K43</f>
        <v>#N/A</v>
      </c>
      <c r="L59" s="15"/>
      <c r="M59" s="15" t="str">
        <f>H59</f>
        <v>Office</v>
      </c>
      <c r="N59" s="15" t="e">
        <f>O59</f>
        <v>#N/A</v>
      </c>
      <c r="O59" s="15" t="e">
        <f>O43</f>
        <v>#N/A</v>
      </c>
      <c r="P59" s="15" t="e">
        <f>P43</f>
        <v>#N/A</v>
      </c>
      <c r="Q59" s="15"/>
      <c r="R59" t="s">
        <v>2</v>
      </c>
      <c r="S59" s="15" t="e">
        <f>T59</f>
        <v>#N/A</v>
      </c>
      <c r="T59" s="15" t="e">
        <f>T43</f>
        <v>#N/A</v>
      </c>
      <c r="U59" s="49" t="e">
        <f>U43</f>
        <v>#N/A</v>
      </c>
    </row>
    <row r="60" spans="3:21" x14ac:dyDescent="0.3">
      <c r="C60" s="21" t="s">
        <v>173</v>
      </c>
      <c r="D60" s="15">
        <f>E60</f>
        <v>0</v>
      </c>
      <c r="E60" s="15">
        <f>E49</f>
        <v>0</v>
      </c>
      <c r="F60" s="15">
        <f>F49</f>
        <v>0</v>
      </c>
      <c r="G60" s="15"/>
      <c r="H60" s="15" t="str">
        <f t="shared" si="13"/>
        <v>Carpark &amp; Services</v>
      </c>
      <c r="I60" s="15">
        <f>J60</f>
        <v>0</v>
      </c>
      <c r="J60" s="15">
        <f>J49</f>
        <v>0</v>
      </c>
      <c r="K60" s="15">
        <f>K49</f>
        <v>0</v>
      </c>
      <c r="L60" s="15"/>
      <c r="M60" t="s">
        <v>173</v>
      </c>
      <c r="N60" s="15">
        <f>O60</f>
        <v>0</v>
      </c>
      <c r="O60" s="15">
        <f>O49</f>
        <v>0</v>
      </c>
      <c r="P60" s="15">
        <f>P49</f>
        <v>0</v>
      </c>
      <c r="Q60" s="15"/>
      <c r="R60" t="s">
        <v>173</v>
      </c>
      <c r="S60" s="15">
        <f>T60</f>
        <v>0</v>
      </c>
      <c r="T60" s="15">
        <f>T49</f>
        <v>0</v>
      </c>
      <c r="U60" s="49">
        <f>U49</f>
        <v>0</v>
      </c>
    </row>
    <row r="61" spans="3:21" x14ac:dyDescent="0.3">
      <c r="C61" s="21" t="s">
        <v>129</v>
      </c>
      <c r="D61" s="15">
        <f>E61</f>
        <v>0</v>
      </c>
      <c r="E61" s="15">
        <f>E52</f>
        <v>0</v>
      </c>
      <c r="F61" s="15">
        <f>F52</f>
        <v>0</v>
      </c>
      <c r="G61" s="15"/>
      <c r="H61" s="15" t="str">
        <f t="shared" si="13"/>
        <v>Solar</v>
      </c>
      <c r="I61" s="15">
        <f>J61</f>
        <v>0</v>
      </c>
      <c r="J61" s="15">
        <f>J52</f>
        <v>0</v>
      </c>
      <c r="K61" s="15">
        <f>K52</f>
        <v>0</v>
      </c>
      <c r="L61" s="15"/>
      <c r="M61" s="15" t="str">
        <f>H61</f>
        <v>Solar</v>
      </c>
      <c r="N61" s="15">
        <f>O61</f>
        <v>0</v>
      </c>
      <c r="O61" s="15">
        <f>O52</f>
        <v>0</v>
      </c>
      <c r="P61" s="15">
        <f>P52</f>
        <v>0</v>
      </c>
      <c r="Q61" s="15"/>
      <c r="R61" t="s">
        <v>129</v>
      </c>
      <c r="S61" s="15">
        <f>T61</f>
        <v>0</v>
      </c>
      <c r="T61" s="15">
        <f>T52</f>
        <v>0</v>
      </c>
      <c r="U61" s="49">
        <f>U52</f>
        <v>0</v>
      </c>
    </row>
    <row r="62" spans="3:21" x14ac:dyDescent="0.3">
      <c r="C62" s="80" t="s">
        <v>120</v>
      </c>
      <c r="D62" s="18" t="e">
        <f>SUM(D56:D61)</f>
        <v>#N/A</v>
      </c>
      <c r="E62" s="18" t="e">
        <f>SUM(E56:E61)</f>
        <v>#N/A</v>
      </c>
      <c r="F62" s="18" t="e">
        <f>SUM(F56:F61)</f>
        <v>#N/A</v>
      </c>
      <c r="G62" s="18"/>
      <c r="H62" s="18" t="str">
        <f t="shared" si="13"/>
        <v>Total</v>
      </c>
      <c r="I62" s="18" t="e">
        <f>SUM(I56:I61)</f>
        <v>#N/A</v>
      </c>
      <c r="J62" s="18" t="e">
        <f>SUM(J56:J61)</f>
        <v>#N/A</v>
      </c>
      <c r="K62" s="18" t="e">
        <f>SUM(K56:K61)</f>
        <v>#N/A</v>
      </c>
      <c r="L62" s="18" t="e">
        <f>K62-J62</f>
        <v>#N/A</v>
      </c>
      <c r="M62" s="18" t="str">
        <f>H62</f>
        <v>Total</v>
      </c>
      <c r="N62" s="18" t="e">
        <f>SUM(N56:N61)</f>
        <v>#N/A</v>
      </c>
      <c r="O62" s="18" t="e">
        <f>SUM(O56:O61)</f>
        <v>#N/A</v>
      </c>
      <c r="P62" s="18" t="e">
        <f>SUM(P56:P61)</f>
        <v>#N/A</v>
      </c>
      <c r="Q62" s="18"/>
      <c r="R62" s="1" t="s">
        <v>120</v>
      </c>
      <c r="S62" s="18" t="e">
        <f>SUM(S56:S61)</f>
        <v>#N/A</v>
      </c>
      <c r="T62" s="18" t="e">
        <f>SUM(T56:T61)</f>
        <v>#N/A</v>
      </c>
      <c r="U62" s="81" t="e">
        <f>SUM(U56:U61)</f>
        <v>#N/A</v>
      </c>
    </row>
    <row r="63" spans="3:21" ht="15" thickBot="1" x14ac:dyDescent="0.35">
      <c r="C63" s="41"/>
      <c r="D63" s="78"/>
      <c r="E63" s="78"/>
      <c r="F63" s="78"/>
      <c r="G63" s="42"/>
      <c r="H63" s="42" t="s">
        <v>243</v>
      </c>
      <c r="I63" s="78"/>
      <c r="J63" s="78"/>
      <c r="K63" s="78" t="e">
        <f>1-(K62/J62)</f>
        <v>#N/A</v>
      </c>
      <c r="L63" s="42"/>
      <c r="M63" s="42"/>
      <c r="N63" s="78"/>
      <c r="O63" s="78"/>
      <c r="P63" s="78"/>
      <c r="Q63" s="42"/>
      <c r="R63" s="42" t="s">
        <v>241</v>
      </c>
      <c r="S63" s="99" t="e">
        <f>S62-U62</f>
        <v>#N/A</v>
      </c>
      <c r="T63" s="99" t="e">
        <f>T62-U62</f>
        <v>#N/A</v>
      </c>
      <c r="U63" s="79"/>
    </row>
    <row r="64" spans="3:21" x14ac:dyDescent="0.3">
      <c r="C64" s="1"/>
      <c r="D64" s="1"/>
      <c r="E64" s="18"/>
      <c r="F64" s="18"/>
      <c r="G64" s="18"/>
      <c r="H64" s="18"/>
      <c r="I64" s="18"/>
      <c r="J64" s="18"/>
      <c r="K64" s="18"/>
      <c r="M64" s="18"/>
      <c r="N64" s="18"/>
      <c r="O64" s="18"/>
      <c r="P64" s="18"/>
      <c r="Q64" s="18"/>
      <c r="R64" s="1"/>
      <c r="S64" s="1"/>
      <c r="T64" s="18"/>
      <c r="U64" s="18"/>
    </row>
    <row r="65" spans="3:16" ht="15" thickBot="1" x14ac:dyDescent="0.35"/>
    <row r="66" spans="3:16" ht="17.399999999999999" x14ac:dyDescent="0.35">
      <c r="C66" s="139" t="s">
        <v>221</v>
      </c>
      <c r="D66" s="140"/>
      <c r="E66" s="140"/>
      <c r="F66" s="140"/>
      <c r="G66" s="140"/>
      <c r="H66" s="140"/>
      <c r="I66" s="140"/>
      <c r="J66" s="140"/>
      <c r="K66" s="141"/>
      <c r="L66" s="106"/>
      <c r="M66" s="106"/>
      <c r="N66" s="106"/>
      <c r="O66" s="106"/>
      <c r="P66" s="106"/>
    </row>
    <row r="67" spans="3:16" x14ac:dyDescent="0.3">
      <c r="C67" s="21" t="str">
        <f>'Inputs Residential &amp; Mixed-Use'!P51</f>
        <v>Reference Potable Water Use (BESS)</v>
      </c>
      <c r="E67">
        <f>'Inputs Residential &amp; Mixed-Use'!Q51</f>
        <v>0</v>
      </c>
      <c r="F67" t="s">
        <v>218</v>
      </c>
      <c r="H67" t="s">
        <v>236</v>
      </c>
      <c r="J67">
        <f>E67</f>
        <v>0</v>
      </c>
      <c r="K67" s="57" t="s">
        <v>218</v>
      </c>
    </row>
    <row r="68" spans="3:16" ht="28.8" x14ac:dyDescent="0.3">
      <c r="C68" s="76" t="str">
        <f>'Inputs Residential &amp; Mixed-Use'!P52</f>
        <v>Proposed (excluding rainwater and recycled water use) (BESS)</v>
      </c>
      <c r="D68" s="82"/>
      <c r="E68">
        <f>'Inputs Residential &amp; Mixed-Use'!Q52</f>
        <v>0</v>
      </c>
      <c r="F68" t="s">
        <v>218</v>
      </c>
      <c r="G68" s="83" t="e">
        <f>1-(E68/E67)</f>
        <v>#DIV/0!</v>
      </c>
      <c r="H68" t="s">
        <v>223</v>
      </c>
      <c r="J68">
        <f>E68-E67</f>
        <v>0</v>
      </c>
      <c r="K68" s="57" t="s">
        <v>218</v>
      </c>
    </row>
    <row r="69" spans="3:16" ht="29.4" thickBot="1" x14ac:dyDescent="0.35">
      <c r="C69" s="77" t="str">
        <f>'Inputs Residential &amp; Mixed-Use'!P53</f>
        <v>Proposed (including rainwater and recycled water use) (BESS)</v>
      </c>
      <c r="D69" s="93"/>
      <c r="E69" s="44">
        <f>'Inputs Residential &amp; Mixed-Use'!Q53</f>
        <v>0</v>
      </c>
      <c r="F69" s="44" t="s">
        <v>218</v>
      </c>
      <c r="G69" s="84" t="e">
        <f>(1-(E69/E67))</f>
        <v>#DIV/0!</v>
      </c>
      <c r="H69" s="44" t="s">
        <v>222</v>
      </c>
      <c r="I69" s="44"/>
      <c r="J69" s="44">
        <f>E69-E68</f>
        <v>0</v>
      </c>
      <c r="K69" s="75" t="s">
        <v>218</v>
      </c>
      <c r="O69" s="15"/>
    </row>
    <row r="70" spans="3:16" x14ac:dyDescent="0.3">
      <c r="C70" s="82"/>
      <c r="D70" s="82"/>
      <c r="G70" t="s">
        <v>232</v>
      </c>
    </row>
  </sheetData>
  <mergeCells count="13">
    <mergeCell ref="C6:Z6"/>
    <mergeCell ref="C25:U25"/>
    <mergeCell ref="C35:U35"/>
    <mergeCell ref="C66:K66"/>
    <mergeCell ref="C51:U51"/>
    <mergeCell ref="C54:U54"/>
    <mergeCell ref="C18:U18"/>
    <mergeCell ref="C45:U45"/>
    <mergeCell ref="H2:I2"/>
    <mergeCell ref="H3:I3"/>
    <mergeCell ref="H4:I4"/>
    <mergeCell ref="R2:S2"/>
    <mergeCell ref="R3:S3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E4BE-C962-4C7E-AA01-A850DDE55B29}">
  <dimension ref="B2:M24"/>
  <sheetViews>
    <sheetView workbookViewId="0"/>
  </sheetViews>
  <sheetFormatPr defaultRowHeight="14.4" x14ac:dyDescent="0.3"/>
  <cols>
    <col min="2" max="2" width="27.44140625" bestFit="1" customWidth="1"/>
    <col min="3" max="4" width="19.6640625" customWidth="1"/>
    <col min="9" max="9" width="17.6640625" bestFit="1" customWidth="1"/>
    <col min="10" max="10" width="17.6640625" customWidth="1"/>
    <col min="11" max="12" width="22.33203125" bestFit="1" customWidth="1"/>
  </cols>
  <sheetData>
    <row r="2" spans="2:13" x14ac:dyDescent="0.3">
      <c r="J2" s="138" t="s">
        <v>62</v>
      </c>
      <c r="K2" s="138"/>
      <c r="L2" s="138"/>
    </row>
    <row r="3" spans="2:13" x14ac:dyDescent="0.3">
      <c r="J3">
        <v>3</v>
      </c>
      <c r="K3" s="4">
        <v>7</v>
      </c>
      <c r="L3" s="4">
        <v>7.5</v>
      </c>
      <c r="M3" s="4">
        <v>8</v>
      </c>
    </row>
    <row r="4" spans="2:13" x14ac:dyDescent="0.3">
      <c r="B4" t="s">
        <v>27</v>
      </c>
      <c r="C4" t="s">
        <v>31</v>
      </c>
      <c r="I4" t="s">
        <v>52</v>
      </c>
      <c r="J4" t="s">
        <v>235</v>
      </c>
      <c r="K4" t="s">
        <v>59</v>
      </c>
      <c r="L4" t="s">
        <v>60</v>
      </c>
      <c r="M4" t="s">
        <v>61</v>
      </c>
    </row>
    <row r="5" spans="2:13" x14ac:dyDescent="0.3">
      <c r="B5" t="s">
        <v>28</v>
      </c>
      <c r="C5">
        <v>3.1</v>
      </c>
      <c r="I5" t="s">
        <v>55</v>
      </c>
      <c r="J5">
        <v>199</v>
      </c>
      <c r="K5">
        <v>62</v>
      </c>
      <c r="L5">
        <v>52</v>
      </c>
      <c r="M5">
        <v>44</v>
      </c>
    </row>
    <row r="6" spans="2:13" x14ac:dyDescent="0.3">
      <c r="B6" t="s">
        <v>29</v>
      </c>
      <c r="C6">
        <v>3.3</v>
      </c>
      <c r="I6" t="s">
        <v>56</v>
      </c>
      <c r="J6">
        <v>279</v>
      </c>
      <c r="K6">
        <v>55</v>
      </c>
      <c r="L6">
        <v>47</v>
      </c>
      <c r="M6">
        <v>37</v>
      </c>
    </row>
    <row r="7" spans="2:13" x14ac:dyDescent="0.3">
      <c r="B7" t="s">
        <v>34</v>
      </c>
      <c r="C7">
        <v>2.5</v>
      </c>
      <c r="I7" t="s">
        <v>57</v>
      </c>
      <c r="J7">
        <v>262</v>
      </c>
      <c r="K7">
        <v>99</v>
      </c>
      <c r="L7">
        <v>84</v>
      </c>
      <c r="M7">
        <v>69</v>
      </c>
    </row>
    <row r="8" spans="2:13" x14ac:dyDescent="0.3">
      <c r="B8" t="s">
        <v>35</v>
      </c>
      <c r="C8">
        <v>0.8</v>
      </c>
    </row>
    <row r="9" spans="2:13" x14ac:dyDescent="0.3">
      <c r="I9" t="s">
        <v>58</v>
      </c>
      <c r="J9" t="s">
        <v>1</v>
      </c>
      <c r="K9" t="s">
        <v>2</v>
      </c>
      <c r="L9" t="s">
        <v>130</v>
      </c>
    </row>
    <row r="10" spans="2:13" x14ac:dyDescent="0.3">
      <c r="I10">
        <v>6</v>
      </c>
      <c r="J10" s="16">
        <f>Averages!H12</f>
        <v>28.22345208242939</v>
      </c>
      <c r="K10">
        <v>16.7</v>
      </c>
      <c r="L10">
        <v>20</v>
      </c>
    </row>
    <row r="11" spans="2:13" x14ac:dyDescent="0.3">
      <c r="B11" t="s">
        <v>38</v>
      </c>
      <c r="C11" t="s">
        <v>31</v>
      </c>
      <c r="I11">
        <v>7</v>
      </c>
    </row>
    <row r="12" spans="2:13" x14ac:dyDescent="0.3">
      <c r="B12" t="s">
        <v>39</v>
      </c>
      <c r="C12">
        <v>2.5</v>
      </c>
    </row>
    <row r="13" spans="2:13" x14ac:dyDescent="0.3">
      <c r="B13" t="s">
        <v>40</v>
      </c>
      <c r="C13">
        <v>1</v>
      </c>
    </row>
    <row r="14" spans="2:13" x14ac:dyDescent="0.3">
      <c r="B14" t="s">
        <v>41</v>
      </c>
      <c r="C14">
        <v>0.8</v>
      </c>
      <c r="I14" t="s">
        <v>212</v>
      </c>
    </row>
    <row r="15" spans="2:13" x14ac:dyDescent="0.3">
      <c r="I15" t="s">
        <v>213</v>
      </c>
    </row>
    <row r="16" spans="2:13" x14ac:dyDescent="0.3">
      <c r="B16" t="s">
        <v>42</v>
      </c>
      <c r="C16" t="s">
        <v>46</v>
      </c>
      <c r="D16" t="s">
        <v>226</v>
      </c>
      <c r="E16" t="s">
        <v>30</v>
      </c>
      <c r="I16" t="s">
        <v>214</v>
      </c>
    </row>
    <row r="17" spans="2:5" x14ac:dyDescent="0.3">
      <c r="B17" t="s">
        <v>43</v>
      </c>
      <c r="C17">
        <v>0.35</v>
      </c>
      <c r="D17">
        <v>3.5</v>
      </c>
      <c r="E17" t="s">
        <v>47</v>
      </c>
    </row>
    <row r="18" spans="2:5" x14ac:dyDescent="0.3">
      <c r="B18" t="s">
        <v>44</v>
      </c>
      <c r="C18">
        <f>C17*1.1</f>
        <v>0.38500000000000001</v>
      </c>
      <c r="D18">
        <v>25</v>
      </c>
      <c r="E18" t="s">
        <v>47</v>
      </c>
    </row>
    <row r="19" spans="2:5" x14ac:dyDescent="0.3">
      <c r="B19" t="s">
        <v>45</v>
      </c>
      <c r="C19">
        <v>6</v>
      </c>
      <c r="D19">
        <f>2*14.4</f>
        <v>28.8</v>
      </c>
      <c r="E19" t="s">
        <v>54</v>
      </c>
    </row>
    <row r="20" spans="2:5" x14ac:dyDescent="0.3">
      <c r="B20" t="s">
        <v>229</v>
      </c>
      <c r="C20">
        <v>0</v>
      </c>
      <c r="D20">
        <v>0</v>
      </c>
      <c r="E20" t="s">
        <v>47</v>
      </c>
    </row>
    <row r="22" spans="2:5" x14ac:dyDescent="0.3">
      <c r="B22" t="s">
        <v>131</v>
      </c>
      <c r="C22" t="s">
        <v>13</v>
      </c>
    </row>
    <row r="23" spans="2:5" x14ac:dyDescent="0.3">
      <c r="B23" s="2" t="s">
        <v>28</v>
      </c>
      <c r="C23" s="3">
        <v>3.1</v>
      </c>
    </row>
    <row r="24" spans="2:5" x14ac:dyDescent="0.3">
      <c r="B24" s="2" t="s">
        <v>29</v>
      </c>
      <c r="C24" s="3">
        <v>3.4</v>
      </c>
    </row>
  </sheetData>
  <mergeCells count="1">
    <mergeCell ref="J2:L2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4C4A-4031-4B7A-B54E-5F499B381D6C}">
  <dimension ref="B3:Q40"/>
  <sheetViews>
    <sheetView workbookViewId="0">
      <selection activeCell="L26" sqref="L26"/>
    </sheetView>
  </sheetViews>
  <sheetFormatPr defaultRowHeight="14.4" x14ac:dyDescent="0.3"/>
  <cols>
    <col min="2" max="2" width="25.6640625" bestFit="1" customWidth="1"/>
    <col min="4" max="5" width="13.33203125" bestFit="1" customWidth="1"/>
    <col min="6" max="6" width="15.6640625" bestFit="1" customWidth="1"/>
    <col min="7" max="7" width="16.5546875" bestFit="1" customWidth="1"/>
    <col min="8" max="8" width="18.44140625" bestFit="1" customWidth="1"/>
    <col min="11" max="11" width="17.33203125" bestFit="1" customWidth="1"/>
    <col min="12" max="12" width="9.33203125" bestFit="1" customWidth="1"/>
    <col min="13" max="14" width="13.5546875" bestFit="1" customWidth="1"/>
    <col min="15" max="15" width="16.33203125" bestFit="1" customWidth="1"/>
    <col min="16" max="16" width="17.109375" bestFit="1" customWidth="1"/>
    <col min="17" max="17" width="19" bestFit="1" customWidth="1"/>
  </cols>
  <sheetData>
    <row r="3" spans="2:17" x14ac:dyDescent="0.3">
      <c r="B3" s="1" t="s">
        <v>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K3" s="1" t="s">
        <v>257</v>
      </c>
      <c r="L3" s="1" t="s">
        <v>142</v>
      </c>
      <c r="M3" s="1" t="s">
        <v>143</v>
      </c>
      <c r="N3" s="1" t="s">
        <v>144</v>
      </c>
      <c r="O3" s="1" t="s">
        <v>145</v>
      </c>
      <c r="P3" s="1" t="s">
        <v>146</v>
      </c>
      <c r="Q3" s="1" t="s">
        <v>147</v>
      </c>
    </row>
    <row r="4" spans="2:17" x14ac:dyDescent="0.3">
      <c r="B4" t="s">
        <v>141</v>
      </c>
      <c r="C4">
        <v>184</v>
      </c>
      <c r="D4">
        <v>5460.52</v>
      </c>
      <c r="E4">
        <v>2316.9</v>
      </c>
      <c r="F4" s="16">
        <f>D4/C4</f>
        <v>29.676739130434786</v>
      </c>
      <c r="G4" s="16">
        <f>E4/C4</f>
        <v>12.591847826086957</v>
      </c>
      <c r="H4" s="16">
        <f>SUM(D4:E4)/C4</f>
        <v>42.268586956521737</v>
      </c>
      <c r="K4" t="s">
        <v>258</v>
      </c>
      <c r="L4">
        <v>2119.31</v>
      </c>
      <c r="M4">
        <v>46633.8</v>
      </c>
      <c r="N4">
        <v>17577.3</v>
      </c>
      <c r="O4" s="16">
        <f>M4/L4</f>
        <v>22.004237228154448</v>
      </c>
      <c r="P4" s="16">
        <f>N4/L4</f>
        <v>8.2938786680570562</v>
      </c>
      <c r="Q4" s="16">
        <f>O4+P4</f>
        <v>30.298115896211506</v>
      </c>
    </row>
    <row r="5" spans="2:17" x14ac:dyDescent="0.3">
      <c r="B5" t="s">
        <v>148</v>
      </c>
      <c r="C5">
        <v>2272</v>
      </c>
      <c r="D5">
        <v>51882</v>
      </c>
      <c r="E5">
        <v>9964</v>
      </c>
      <c r="F5" s="16">
        <f t="shared" ref="F5:F11" si="0">D5/C5</f>
        <v>22.83538732394366</v>
      </c>
      <c r="G5" s="16">
        <f t="shared" ref="G5:G11" si="1">E5/C5</f>
        <v>4.38556338028169</v>
      </c>
      <c r="H5" s="16">
        <f t="shared" ref="H5:H11" si="2">SUM(D5:E5)/C5</f>
        <v>27.220950704225352</v>
      </c>
      <c r="K5" t="s">
        <v>259</v>
      </c>
      <c r="L5">
        <v>544</v>
      </c>
      <c r="M5">
        <v>1711</v>
      </c>
      <c r="N5">
        <v>1391</v>
      </c>
      <c r="O5" s="16">
        <f>M5/L5</f>
        <v>3.1452205882352939</v>
      </c>
      <c r="P5" s="16">
        <f>N5/L5</f>
        <v>2.5569852941176472</v>
      </c>
      <c r="Q5" s="16">
        <f>O5+P5</f>
        <v>5.7022058823529411</v>
      </c>
    </row>
    <row r="6" spans="2:17" x14ac:dyDescent="0.3">
      <c r="B6" t="s">
        <v>161</v>
      </c>
      <c r="C6">
        <v>35.299999999999997</v>
      </c>
      <c r="D6">
        <v>261.29000000000002</v>
      </c>
      <c r="E6">
        <v>1171.3599999999999</v>
      </c>
      <c r="F6" s="16">
        <f t="shared" si="0"/>
        <v>7.4019830028328624</v>
      </c>
      <c r="G6" s="16">
        <f t="shared" si="1"/>
        <v>33.183002832861192</v>
      </c>
      <c r="H6" s="16">
        <f t="shared" si="2"/>
        <v>40.584985835694049</v>
      </c>
      <c r="K6" t="s">
        <v>260</v>
      </c>
      <c r="L6">
        <v>2864</v>
      </c>
      <c r="M6">
        <v>23637</v>
      </c>
      <c r="N6">
        <v>11480</v>
      </c>
      <c r="O6" s="16">
        <f t="shared" ref="O6:O12" si="3">M6/L6</f>
        <v>8.2531424581005588</v>
      </c>
      <c r="P6" s="16">
        <f t="shared" ref="P6:P12" si="4">N6/L6</f>
        <v>4.0083798882681565</v>
      </c>
      <c r="Q6" s="16">
        <f t="shared" ref="Q6:Q12" si="5">O6+P6</f>
        <v>12.261522346368714</v>
      </c>
    </row>
    <row r="7" spans="2:17" x14ac:dyDescent="0.3">
      <c r="B7" t="s">
        <v>253</v>
      </c>
      <c r="C7">
        <v>1038</v>
      </c>
      <c r="D7">
        <v>2692</v>
      </c>
      <c r="E7">
        <v>9544</v>
      </c>
      <c r="F7" s="16">
        <f t="shared" si="0"/>
        <v>2.5934489402697496</v>
      </c>
      <c r="G7" s="16">
        <f t="shared" si="1"/>
        <v>9.1946050096339107</v>
      </c>
      <c r="H7" s="16">
        <f t="shared" si="2"/>
        <v>11.788053949903661</v>
      </c>
      <c r="K7" t="s">
        <v>261</v>
      </c>
      <c r="L7">
        <v>753</v>
      </c>
      <c r="M7">
        <v>1635</v>
      </c>
      <c r="N7">
        <v>6879</v>
      </c>
      <c r="O7" s="16">
        <f t="shared" si="3"/>
        <v>2.1713147410358564</v>
      </c>
      <c r="P7" s="16">
        <f t="shared" si="4"/>
        <v>9.1354581673306772</v>
      </c>
      <c r="Q7" s="16">
        <f t="shared" si="5"/>
        <v>11.306772908366533</v>
      </c>
    </row>
    <row r="8" spans="2:17" x14ac:dyDescent="0.3">
      <c r="B8" t="s">
        <v>254</v>
      </c>
      <c r="C8">
        <v>311</v>
      </c>
      <c r="D8">
        <v>2808</v>
      </c>
      <c r="E8">
        <v>855</v>
      </c>
      <c r="F8" s="16">
        <f t="shared" si="0"/>
        <v>9.028938906752412</v>
      </c>
      <c r="G8" s="16">
        <f t="shared" si="1"/>
        <v>2.7491961414790995</v>
      </c>
      <c r="H8" s="16">
        <f t="shared" si="2"/>
        <v>11.778135048231512</v>
      </c>
      <c r="K8" t="s">
        <v>262</v>
      </c>
      <c r="L8">
        <v>1224</v>
      </c>
      <c r="M8">
        <v>4523</v>
      </c>
      <c r="N8">
        <v>9481</v>
      </c>
      <c r="O8" s="16">
        <f t="shared" si="3"/>
        <v>3.6952614379084969</v>
      </c>
      <c r="P8" s="16">
        <f t="shared" si="4"/>
        <v>7.7459150326797381</v>
      </c>
      <c r="Q8" s="16">
        <f t="shared" si="5"/>
        <v>11.441176470588236</v>
      </c>
    </row>
    <row r="9" spans="2:17" x14ac:dyDescent="0.3">
      <c r="B9" t="s">
        <v>255</v>
      </c>
      <c r="C9">
        <v>50</v>
      </c>
      <c r="D9">
        <v>1282</v>
      </c>
      <c r="E9">
        <v>503</v>
      </c>
      <c r="F9" s="16">
        <f t="shared" si="0"/>
        <v>25.64</v>
      </c>
      <c r="G9" s="16">
        <f t="shared" si="1"/>
        <v>10.06</v>
      </c>
      <c r="H9" s="16">
        <f t="shared" si="2"/>
        <v>35.700000000000003</v>
      </c>
      <c r="K9" t="s">
        <v>263</v>
      </c>
      <c r="L9">
        <v>452</v>
      </c>
      <c r="M9">
        <v>2109</v>
      </c>
      <c r="N9">
        <v>1663</v>
      </c>
      <c r="O9" s="16">
        <f t="shared" si="3"/>
        <v>4.6659292035398234</v>
      </c>
      <c r="P9" s="16">
        <f t="shared" si="4"/>
        <v>3.6792035398230087</v>
      </c>
      <c r="Q9" s="16">
        <f t="shared" si="5"/>
        <v>8.3451327433628322</v>
      </c>
    </row>
    <row r="10" spans="2:17" x14ac:dyDescent="0.3">
      <c r="F10" s="16" t="e">
        <f t="shared" si="0"/>
        <v>#DIV/0!</v>
      </c>
      <c r="G10" s="16" t="e">
        <f t="shared" si="1"/>
        <v>#DIV/0!</v>
      </c>
      <c r="H10" s="16" t="e">
        <f t="shared" si="2"/>
        <v>#DIV/0!</v>
      </c>
      <c r="K10" t="s">
        <v>264</v>
      </c>
      <c r="L10">
        <v>878</v>
      </c>
      <c r="M10">
        <v>3288</v>
      </c>
      <c r="N10">
        <v>4284</v>
      </c>
      <c r="O10" s="16">
        <f t="shared" si="3"/>
        <v>3.7448747152619588</v>
      </c>
      <c r="P10" s="16">
        <f t="shared" si="4"/>
        <v>4.879271070615034</v>
      </c>
      <c r="Q10" s="16">
        <f t="shared" si="5"/>
        <v>8.6241457858769923</v>
      </c>
    </row>
    <row r="11" spans="2:17" x14ac:dyDescent="0.3">
      <c r="F11" s="16" t="e">
        <f t="shared" si="0"/>
        <v>#DIV/0!</v>
      </c>
      <c r="G11" s="16" t="e">
        <f t="shared" si="1"/>
        <v>#DIV/0!</v>
      </c>
      <c r="H11" s="16" t="e">
        <f t="shared" si="2"/>
        <v>#DIV/0!</v>
      </c>
      <c r="K11" t="s">
        <v>265</v>
      </c>
      <c r="L11">
        <f>1001+1001+1001+1562+1403</f>
        <v>5968</v>
      </c>
      <c r="M11">
        <f>3921+3932+3985+5406+1836</f>
        <v>19080</v>
      </c>
      <c r="N11">
        <f>3685+3659+3526+5950+882+873</f>
        <v>18575</v>
      </c>
      <c r="O11" s="16">
        <f t="shared" si="3"/>
        <v>3.1970509383378016</v>
      </c>
      <c r="P11" s="16">
        <f t="shared" si="4"/>
        <v>3.1124329758713136</v>
      </c>
      <c r="Q11" s="16">
        <f t="shared" si="5"/>
        <v>6.3094839142091157</v>
      </c>
    </row>
    <row r="12" spans="2:17" x14ac:dyDescent="0.3">
      <c r="G12" t="s">
        <v>267</v>
      </c>
      <c r="H12" s="16">
        <f>AVERAGE(H4:H9)</f>
        <v>28.22345208242939</v>
      </c>
      <c r="K12" t="s">
        <v>266</v>
      </c>
      <c r="L12">
        <f>878+1083+1083+1485+1338</f>
        <v>5867</v>
      </c>
      <c r="M12">
        <f>3283+4159+4176+5549+6437+1439</f>
        <v>25043</v>
      </c>
      <c r="N12">
        <f>4334+6148+5966+5925+6873</f>
        <v>29246</v>
      </c>
      <c r="O12" s="16">
        <f t="shared" si="3"/>
        <v>4.2684506562127149</v>
      </c>
      <c r="P12" s="16">
        <f t="shared" si="4"/>
        <v>4.9848304073632184</v>
      </c>
      <c r="Q12" s="16">
        <f t="shared" si="5"/>
        <v>9.2532810635759333</v>
      </c>
    </row>
    <row r="13" spans="2:17" x14ac:dyDescent="0.3">
      <c r="Q13" s="16"/>
    </row>
    <row r="14" spans="2:17" x14ac:dyDescent="0.3">
      <c r="B14" s="1" t="s">
        <v>2</v>
      </c>
      <c r="C14" s="1" t="s">
        <v>142</v>
      </c>
      <c r="D14" s="1" t="s">
        <v>143</v>
      </c>
      <c r="E14" s="1" t="s">
        <v>144</v>
      </c>
      <c r="F14" s="1" t="s">
        <v>145</v>
      </c>
      <c r="G14" s="1" t="s">
        <v>146</v>
      </c>
      <c r="H14" s="1" t="s">
        <v>147</v>
      </c>
    </row>
    <row r="15" spans="2:17" x14ac:dyDescent="0.3">
      <c r="B15" t="s">
        <v>149</v>
      </c>
      <c r="C15">
        <v>2553</v>
      </c>
      <c r="D15">
        <v>14465</v>
      </c>
      <c r="E15">
        <v>9529</v>
      </c>
      <c r="F15" s="16">
        <f>D15/C15</f>
        <v>5.6658832745789267</v>
      </c>
      <c r="G15" s="16">
        <f>E15/C15</f>
        <v>3.7324716020368194</v>
      </c>
      <c r="H15" s="16">
        <f>SUM(D15:E15)/C15</f>
        <v>9.3983548766157465</v>
      </c>
      <c r="P15" t="s">
        <v>267</v>
      </c>
      <c r="Q15" s="16">
        <f>AVERAGE(Q4:Q12)</f>
        <v>11.504648556768091</v>
      </c>
    </row>
    <row r="16" spans="2:17" x14ac:dyDescent="0.3">
      <c r="B16" t="s">
        <v>150</v>
      </c>
      <c r="C16">
        <v>487</v>
      </c>
      <c r="D16">
        <v>19993</v>
      </c>
      <c r="E16">
        <v>5473</v>
      </c>
      <c r="F16" s="16">
        <f t="shared" ref="F16:F26" si="6">D16/C16</f>
        <v>41.053388090349074</v>
      </c>
      <c r="G16" s="16">
        <f t="shared" ref="G16:G26" si="7">E16/C16</f>
        <v>11.238193018480493</v>
      </c>
      <c r="H16" s="16">
        <f t="shared" ref="H16:H26" si="8">SUM(D16:E16)/C16</f>
        <v>52.291581108829568</v>
      </c>
    </row>
    <row r="17" spans="2:17" x14ac:dyDescent="0.3">
      <c r="B17" t="s">
        <v>151</v>
      </c>
      <c r="C17">
        <v>766.42</v>
      </c>
      <c r="D17">
        <v>15848.1</v>
      </c>
      <c r="E17">
        <v>12766.6</v>
      </c>
      <c r="F17" s="16">
        <f t="shared" si="6"/>
        <v>20.678087732574831</v>
      </c>
      <c r="G17" s="16">
        <f t="shared" si="7"/>
        <v>16.657446308812403</v>
      </c>
      <c r="H17" s="16">
        <f t="shared" si="8"/>
        <v>37.335534041387234</v>
      </c>
      <c r="K17" s="1" t="s">
        <v>268</v>
      </c>
      <c r="L17" s="1" t="s">
        <v>142</v>
      </c>
      <c r="M17" s="1" t="s">
        <v>143</v>
      </c>
      <c r="N17" s="1" t="s">
        <v>144</v>
      </c>
      <c r="O17" s="1" t="s">
        <v>145</v>
      </c>
      <c r="P17" s="1" t="s">
        <v>146</v>
      </c>
      <c r="Q17" s="1" t="s">
        <v>147</v>
      </c>
    </row>
    <row r="18" spans="2:17" x14ac:dyDescent="0.3">
      <c r="B18" t="s">
        <v>152</v>
      </c>
      <c r="C18">
        <v>1950</v>
      </c>
      <c r="D18">
        <v>7359</v>
      </c>
      <c r="E18">
        <v>7757</v>
      </c>
      <c r="F18" s="16">
        <f t="shared" si="6"/>
        <v>3.7738461538461539</v>
      </c>
      <c r="G18" s="16">
        <f t="shared" si="7"/>
        <v>3.9779487179487178</v>
      </c>
      <c r="H18" s="16">
        <f t="shared" si="8"/>
        <v>7.7517948717948721</v>
      </c>
      <c r="K18" t="s">
        <v>269</v>
      </c>
      <c r="L18">
        <v>255</v>
      </c>
      <c r="M18">
        <v>4682</v>
      </c>
      <c r="N18">
        <v>4504</v>
      </c>
      <c r="O18" s="16">
        <f>M18/L18</f>
        <v>18.360784313725489</v>
      </c>
      <c r="P18" s="16">
        <f>N18/L18</f>
        <v>17.662745098039217</v>
      </c>
      <c r="Q18" s="16">
        <f>O18+P18</f>
        <v>36.023529411764706</v>
      </c>
    </row>
    <row r="19" spans="2:17" x14ac:dyDescent="0.3">
      <c r="B19" t="s">
        <v>153</v>
      </c>
      <c r="C19">
        <v>1233</v>
      </c>
      <c r="D19">
        <v>9205</v>
      </c>
      <c r="E19">
        <v>3387</v>
      </c>
      <c r="F19" s="16">
        <f t="shared" si="6"/>
        <v>7.4655312246553125</v>
      </c>
      <c r="G19" s="16">
        <f t="shared" si="7"/>
        <v>2.7469586374695862</v>
      </c>
      <c r="H19" s="16">
        <f t="shared" si="8"/>
        <v>10.212489862124899</v>
      </c>
      <c r="K19" t="s">
        <v>270</v>
      </c>
      <c r="L19">
        <v>24738</v>
      </c>
      <c r="M19">
        <v>583198</v>
      </c>
      <c r="N19">
        <v>212362</v>
      </c>
      <c r="O19" s="16">
        <f>M19/L19</f>
        <v>23.57498585172609</v>
      </c>
      <c r="P19" s="16">
        <f>N19/L19</f>
        <v>8.584444983426307</v>
      </c>
      <c r="Q19" s="16">
        <f>O19+P19</f>
        <v>32.159430835152399</v>
      </c>
    </row>
    <row r="20" spans="2:17" x14ac:dyDescent="0.3">
      <c r="B20" t="s">
        <v>154</v>
      </c>
      <c r="C20">
        <v>2925</v>
      </c>
      <c r="D20">
        <v>23838</v>
      </c>
      <c r="E20">
        <v>26637</v>
      </c>
      <c r="F20" s="16">
        <f t="shared" si="6"/>
        <v>8.1497435897435899</v>
      </c>
      <c r="G20" s="16">
        <f t="shared" si="7"/>
        <v>9.1066666666666674</v>
      </c>
      <c r="H20" s="16">
        <f t="shared" si="8"/>
        <v>17.256410256410255</v>
      </c>
      <c r="K20" t="s">
        <v>271</v>
      </c>
      <c r="L20">
        <v>16636</v>
      </c>
      <c r="M20">
        <v>692119</v>
      </c>
      <c r="N20">
        <v>49460</v>
      </c>
      <c r="O20" s="16">
        <f>M20/L20</f>
        <v>41.603690791055541</v>
      </c>
      <c r="P20" s="16">
        <f>N20/L20</f>
        <v>2.9730704496273144</v>
      </c>
      <c r="Q20" s="16">
        <f>O20+P20</f>
        <v>44.576761240682856</v>
      </c>
    </row>
    <row r="21" spans="2:17" x14ac:dyDescent="0.3">
      <c r="B21" t="s">
        <v>155</v>
      </c>
      <c r="C21">
        <v>1039</v>
      </c>
      <c r="D21">
        <v>4541</v>
      </c>
      <c r="E21">
        <v>3915</v>
      </c>
      <c r="F21" s="16">
        <f t="shared" si="6"/>
        <v>4.3705486044273343</v>
      </c>
      <c r="G21" s="16">
        <f t="shared" si="7"/>
        <v>3.768046198267565</v>
      </c>
      <c r="H21" s="16">
        <f t="shared" si="8"/>
        <v>8.1385948026948984</v>
      </c>
      <c r="K21" t="s">
        <v>272</v>
      </c>
      <c r="L21">
        <v>10863</v>
      </c>
      <c r="M21">
        <v>156227.51999999999</v>
      </c>
      <c r="N21">
        <v>76199.3</v>
      </c>
      <c r="O21" s="16">
        <f>M21/L21</f>
        <v>14.381618337475835</v>
      </c>
      <c r="P21" s="16">
        <f>N21/L21</f>
        <v>7.0145724017306454</v>
      </c>
      <c r="Q21" s="16">
        <f>O21+P21</f>
        <v>21.396190739206482</v>
      </c>
    </row>
    <row r="22" spans="2:17" x14ac:dyDescent="0.3">
      <c r="B22" t="s">
        <v>156</v>
      </c>
      <c r="C22">
        <v>397</v>
      </c>
      <c r="D22">
        <v>2053</v>
      </c>
      <c r="E22">
        <v>1693</v>
      </c>
      <c r="F22" s="16">
        <f t="shared" si="6"/>
        <v>5.1712846347607053</v>
      </c>
      <c r="G22" s="16">
        <f t="shared" si="7"/>
        <v>4.2644836272040303</v>
      </c>
      <c r="H22" s="16">
        <f t="shared" si="8"/>
        <v>9.4357682619647356</v>
      </c>
    </row>
    <row r="23" spans="2:17" x14ac:dyDescent="0.3">
      <c r="B23" t="s">
        <v>157</v>
      </c>
      <c r="C23">
        <v>766.42</v>
      </c>
      <c r="D23">
        <v>2769.3</v>
      </c>
      <c r="E23">
        <v>4953.6000000000004</v>
      </c>
      <c r="F23" s="16">
        <f t="shared" si="6"/>
        <v>3.6132929725215943</v>
      </c>
      <c r="G23" s="16">
        <f t="shared" si="7"/>
        <v>6.4632968868244571</v>
      </c>
      <c r="H23" s="16">
        <f t="shared" si="8"/>
        <v>10.076589859346052</v>
      </c>
      <c r="P23" t="s">
        <v>267</v>
      </c>
      <c r="Q23" s="16">
        <f>AVERAGE(Q18:Q21)</f>
        <v>33.538978056701609</v>
      </c>
    </row>
    <row r="24" spans="2:17" x14ac:dyDescent="0.3">
      <c r="B24" t="s">
        <v>158</v>
      </c>
      <c r="C24">
        <v>449</v>
      </c>
      <c r="D24">
        <v>1854</v>
      </c>
      <c r="E24">
        <v>2041</v>
      </c>
      <c r="F24" s="16">
        <f t="shared" si="6"/>
        <v>4.1291759465478846</v>
      </c>
      <c r="G24" s="16">
        <f t="shared" si="7"/>
        <v>4.5456570155902005</v>
      </c>
      <c r="H24" s="16">
        <f t="shared" si="8"/>
        <v>8.6748329621380851</v>
      </c>
    </row>
    <row r="25" spans="2:17" x14ac:dyDescent="0.3">
      <c r="B25" t="s">
        <v>159</v>
      </c>
      <c r="C25">
        <v>3835.6</v>
      </c>
      <c r="D25">
        <v>27756.3</v>
      </c>
      <c r="E25">
        <v>29468.9</v>
      </c>
      <c r="F25" s="16">
        <f t="shared" si="6"/>
        <v>7.2364949421211806</v>
      </c>
      <c r="G25" s="16">
        <f t="shared" si="7"/>
        <v>7.6829961414120351</v>
      </c>
      <c r="H25" s="16">
        <f t="shared" si="8"/>
        <v>14.919491083533215</v>
      </c>
    </row>
    <row r="26" spans="2:17" x14ac:dyDescent="0.3">
      <c r="B26" t="s">
        <v>160</v>
      </c>
      <c r="C26">
        <v>116</v>
      </c>
      <c r="D26">
        <v>827</v>
      </c>
      <c r="E26">
        <v>913</v>
      </c>
      <c r="F26" s="16">
        <f t="shared" si="6"/>
        <v>7.1293103448275863</v>
      </c>
      <c r="G26" s="16">
        <f t="shared" si="7"/>
        <v>7.8706896551724137</v>
      </c>
      <c r="H26" s="16">
        <f t="shared" si="8"/>
        <v>15</v>
      </c>
    </row>
    <row r="28" spans="2:17" x14ac:dyDescent="0.3">
      <c r="G28" t="s">
        <v>267</v>
      </c>
      <c r="H28" s="16">
        <f>AVERAGE(H15:H26)</f>
        <v>16.707620165569967</v>
      </c>
    </row>
    <row r="31" spans="2:17" x14ac:dyDescent="0.3">
      <c r="B31" s="1" t="s">
        <v>256</v>
      </c>
      <c r="C31" s="1" t="s">
        <v>142</v>
      </c>
      <c r="D31" s="1" t="s">
        <v>143</v>
      </c>
      <c r="E31" s="1" t="s">
        <v>144</v>
      </c>
      <c r="F31" s="1" t="s">
        <v>145</v>
      </c>
      <c r="G31" s="1" t="s">
        <v>146</v>
      </c>
      <c r="H31" s="1" t="s">
        <v>147</v>
      </c>
    </row>
    <row r="32" spans="2:17" x14ac:dyDescent="0.3">
      <c r="B32" t="s">
        <v>273</v>
      </c>
      <c r="C32">
        <v>8233</v>
      </c>
      <c r="D32">
        <v>162744</v>
      </c>
      <c r="E32">
        <v>23443</v>
      </c>
      <c r="F32" s="16">
        <f>D32/C32</f>
        <v>19.767278027450505</v>
      </c>
      <c r="G32" s="16">
        <f>E32/C32</f>
        <v>2.8474432163245473</v>
      </c>
      <c r="H32" s="16">
        <f>F32+G32</f>
        <v>22.614721243775051</v>
      </c>
    </row>
    <row r="33" spans="2:8" x14ac:dyDescent="0.3">
      <c r="B33" t="s">
        <v>274</v>
      </c>
      <c r="C33">
        <v>10179</v>
      </c>
      <c r="D33">
        <v>233638</v>
      </c>
      <c r="E33">
        <v>33225</v>
      </c>
      <c r="F33" s="16">
        <f t="shared" ref="F33:F38" si="9">D33/C33</f>
        <v>22.952942332252675</v>
      </c>
      <c r="G33" s="16">
        <f t="shared" ref="G33:G38" si="10">E33/C33</f>
        <v>3.2640730916592986</v>
      </c>
      <c r="H33" s="16">
        <f t="shared" ref="H33:H38" si="11">F33+G33</f>
        <v>26.217015423911974</v>
      </c>
    </row>
    <row r="34" spans="2:8" x14ac:dyDescent="0.3">
      <c r="B34" t="s">
        <v>275</v>
      </c>
      <c r="C34">
        <v>8798</v>
      </c>
      <c r="D34">
        <v>249184</v>
      </c>
      <c r="E34">
        <v>22862</v>
      </c>
      <c r="F34" s="16">
        <f t="shared" si="9"/>
        <v>28.322800636508298</v>
      </c>
      <c r="G34" s="16">
        <f t="shared" si="10"/>
        <v>2.5985451238917934</v>
      </c>
      <c r="H34" s="16">
        <f t="shared" si="11"/>
        <v>30.92134576040009</v>
      </c>
    </row>
    <row r="35" spans="2:8" x14ac:dyDescent="0.3">
      <c r="B35" t="s">
        <v>276</v>
      </c>
      <c r="C35">
        <v>6340</v>
      </c>
      <c r="D35">
        <v>830914</v>
      </c>
      <c r="E35">
        <v>36729</v>
      </c>
      <c r="F35" s="16">
        <f t="shared" si="9"/>
        <v>131.05899053627761</v>
      </c>
      <c r="G35" s="16">
        <f t="shared" si="10"/>
        <v>5.793217665615142</v>
      </c>
      <c r="H35" s="105">
        <f t="shared" si="11"/>
        <v>136.85220820189275</v>
      </c>
    </row>
    <row r="36" spans="2:8" x14ac:dyDescent="0.3">
      <c r="B36" t="s">
        <v>277</v>
      </c>
      <c r="C36">
        <v>1633</v>
      </c>
      <c r="D36">
        <v>39991</v>
      </c>
      <c r="E36">
        <v>8051</v>
      </c>
      <c r="F36" s="16">
        <f t="shared" si="9"/>
        <v>24.489283527250461</v>
      </c>
      <c r="G36" s="16">
        <f t="shared" si="10"/>
        <v>4.9301898346601352</v>
      </c>
      <c r="H36" s="16">
        <f t="shared" si="11"/>
        <v>29.419473361910597</v>
      </c>
    </row>
    <row r="37" spans="2:8" x14ac:dyDescent="0.3">
      <c r="B37" t="s">
        <v>278</v>
      </c>
      <c r="C37">
        <v>16184</v>
      </c>
      <c r="D37">
        <v>488511</v>
      </c>
      <c r="E37">
        <v>36008</v>
      </c>
      <c r="F37" s="16">
        <f t="shared" si="9"/>
        <v>30.184812160158181</v>
      </c>
      <c r="G37" s="16">
        <f t="shared" si="10"/>
        <v>2.2249134948096887</v>
      </c>
      <c r="H37" s="16">
        <f t="shared" si="11"/>
        <v>32.409725654967872</v>
      </c>
    </row>
    <row r="38" spans="2:8" x14ac:dyDescent="0.3">
      <c r="F38" t="e">
        <f t="shared" si="9"/>
        <v>#DIV/0!</v>
      </c>
      <c r="G38" t="e">
        <f t="shared" si="10"/>
        <v>#DIV/0!</v>
      </c>
      <c r="H38" t="e">
        <f t="shared" si="11"/>
        <v>#DIV/0!</v>
      </c>
    </row>
    <row r="40" spans="2:8" x14ac:dyDescent="0.3">
      <c r="G40" t="s">
        <v>267</v>
      </c>
      <c r="H40" s="16">
        <f>AVERAGE(H32:H34,H36:H37)</f>
        <v>28.316456288993116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Final Report</vt:lpstr>
      <vt:lpstr>Inputs Residential &amp; Mixed-Use</vt:lpstr>
      <vt:lpstr>Graphs</vt:lpstr>
      <vt:lpstr>Calculations Residential</vt:lpstr>
      <vt:lpstr>Calculations Retail</vt:lpstr>
      <vt:lpstr>Calculations Office</vt:lpstr>
      <vt:lpstr>Calculations Communal</vt:lpstr>
      <vt:lpstr>Calculations C&amp;S</vt:lpstr>
      <vt:lpstr>Totals Residential &amp; Mixed-Use</vt:lpstr>
      <vt:lpstr>Drop down</vt:lpstr>
      <vt:lpstr>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Buskermolen</dc:creator>
  <cp:lastModifiedBy>Ines Buskermolen</cp:lastModifiedBy>
  <dcterms:created xsi:type="dcterms:W3CDTF">2025-01-31T18:59:08Z</dcterms:created>
  <dcterms:modified xsi:type="dcterms:W3CDTF">2026-06-22T01:07:41Z</dcterms:modified>
</cp:coreProperties>
</file>