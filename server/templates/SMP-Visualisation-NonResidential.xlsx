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esb\Desktop\Claude Code\server\templates\"/>
    </mc:Choice>
  </mc:AlternateContent>
  <xr:revisionPtr revIDLastSave="0" documentId="13_ncr:1_{D12397D0-4769-470E-8B66-5A0E3931BFA2}" xr6:coauthVersionLast="47" xr6:coauthVersionMax="47" xr10:uidLastSave="{00000000-0000-0000-0000-000000000000}"/>
  <bookViews>
    <workbookView xWindow="28680" yWindow="-120" windowWidth="29040" windowHeight="15720" activeTab="1" xr2:uid="{3C857329-8C44-458F-A49B-D8C19524634F}"/>
  </bookViews>
  <sheets>
    <sheet name="Final Report" sheetId="12" r:id="rId1"/>
    <sheet name="Inputs Non-Residential" sheetId="13" r:id="rId2"/>
    <sheet name="Graphs" sheetId="1" r:id="rId3"/>
    <sheet name="Calculations Retail" sheetId="6" state="hidden" r:id="rId4"/>
    <sheet name="Calculations Office" sheetId="7" state="hidden" r:id="rId5"/>
    <sheet name="Calculations Student Accom" sheetId="16" state="hidden" r:id="rId6"/>
    <sheet name="Calculations Educational" sheetId="15" state="hidden" r:id="rId7"/>
    <sheet name="Calculations Aged Care" sheetId="14" state="hidden" r:id="rId8"/>
    <sheet name="Calculations C&amp;S" sheetId="10" state="hidden" r:id="rId9"/>
    <sheet name="Totals Non-Residential" sheetId="5" r:id="rId10"/>
    <sheet name="Drop down" sheetId="3" state="hidden" r:id="rId11"/>
    <sheet name="Averages" sheetId="8" state="hidden" r:id="rId12"/>
  </sheets>
  <definedNames>
    <definedName name="_xlchart.v1.0" hidden="1">'Totals Non-Residential'!$H$83:$H$85</definedName>
    <definedName name="_xlchart.v1.1" hidden="1">'Totals Non-Residential'!$J$83:$J$85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5" l="1"/>
  <c r="R96" i="5"/>
  <c r="M96" i="5"/>
  <c r="H96" i="5"/>
  <c r="U89" i="5"/>
  <c r="P89" i="5"/>
  <c r="K89" i="5"/>
  <c r="R97" i="5"/>
  <c r="R91" i="5"/>
  <c r="R92" i="5"/>
  <c r="R93" i="5"/>
  <c r="R94" i="5"/>
  <c r="R95" i="5"/>
  <c r="R90" i="5"/>
  <c r="M91" i="5"/>
  <c r="M92" i="5"/>
  <c r="M93" i="5"/>
  <c r="M94" i="5"/>
  <c r="M95" i="5"/>
  <c r="M97" i="5"/>
  <c r="M90" i="5"/>
  <c r="H91" i="5"/>
  <c r="H92" i="5"/>
  <c r="H93" i="5"/>
  <c r="H94" i="5"/>
  <c r="H95" i="5"/>
  <c r="H97" i="5"/>
  <c r="H90" i="5"/>
  <c r="F49" i="5"/>
  <c r="F39" i="5"/>
  <c r="F89" i="5"/>
  <c r="F14" i="5" l="1"/>
  <c r="P14" i="5" s="1"/>
  <c r="F35" i="5"/>
  <c r="E35" i="5"/>
  <c r="G17" i="14"/>
  <c r="C17" i="14"/>
  <c r="G17" i="15"/>
  <c r="C17" i="15"/>
  <c r="G17" i="16"/>
  <c r="C17" i="16"/>
  <c r="G17" i="6"/>
  <c r="C17" i="6"/>
  <c r="J10" i="5" s="1"/>
  <c r="O10" i="5" s="1"/>
  <c r="G17" i="7"/>
  <c r="C17" i="7"/>
  <c r="C9" i="16"/>
  <c r="E29" i="5" s="1"/>
  <c r="G33" i="16"/>
  <c r="G33" i="7"/>
  <c r="G27" i="6"/>
  <c r="G27" i="14"/>
  <c r="F53" i="5" s="1"/>
  <c r="C27" i="14"/>
  <c r="E53" i="5" s="1"/>
  <c r="G27" i="15"/>
  <c r="F43" i="5" s="1"/>
  <c r="C27" i="15"/>
  <c r="E43" i="5" s="1"/>
  <c r="G27" i="7"/>
  <c r="C27" i="7"/>
  <c r="G27" i="16"/>
  <c r="F32" i="5" s="1"/>
  <c r="U32" i="5" s="1"/>
  <c r="C27" i="16"/>
  <c r="E32" i="5" s="1"/>
  <c r="C33" i="16"/>
  <c r="E33" i="5" s="1"/>
  <c r="E85" i="5"/>
  <c r="E84" i="5"/>
  <c r="E83" i="5"/>
  <c r="U70" i="5"/>
  <c r="P70" i="5"/>
  <c r="K70" i="5"/>
  <c r="F70" i="5"/>
  <c r="J67" i="5"/>
  <c r="F60" i="5"/>
  <c r="U20" i="5"/>
  <c r="T20" i="5"/>
  <c r="U10" i="5"/>
  <c r="T10" i="5"/>
  <c r="F40" i="5"/>
  <c r="F28" i="5"/>
  <c r="F18" i="5"/>
  <c r="U60" i="5"/>
  <c r="P60" i="5"/>
  <c r="K60" i="5"/>
  <c r="U49" i="5"/>
  <c r="P49" i="5"/>
  <c r="K49" i="5"/>
  <c r="U39" i="5"/>
  <c r="P39" i="5"/>
  <c r="K39" i="5"/>
  <c r="U28" i="5"/>
  <c r="P28" i="5"/>
  <c r="K28" i="5"/>
  <c r="U18" i="5"/>
  <c r="P18" i="5"/>
  <c r="K18" i="5"/>
  <c r="R57" i="5"/>
  <c r="H57" i="5"/>
  <c r="M57" i="5" s="1"/>
  <c r="R56" i="5"/>
  <c r="H56" i="5"/>
  <c r="M56" i="5" s="1"/>
  <c r="R55" i="5"/>
  <c r="H55" i="5"/>
  <c r="M55" i="5" s="1"/>
  <c r="R54" i="5"/>
  <c r="H54" i="5"/>
  <c r="M54" i="5" s="1"/>
  <c r="R50" i="5"/>
  <c r="H50" i="5"/>
  <c r="M50" i="5" s="1"/>
  <c r="R46" i="5"/>
  <c r="H46" i="5"/>
  <c r="M46" i="5" s="1"/>
  <c r="R45" i="5"/>
  <c r="H45" i="5"/>
  <c r="M45" i="5" s="1"/>
  <c r="R44" i="5"/>
  <c r="H44" i="5"/>
  <c r="M44" i="5" s="1"/>
  <c r="F44" i="5"/>
  <c r="E44" i="5"/>
  <c r="R40" i="5"/>
  <c r="H40" i="5"/>
  <c r="M40" i="5" s="1"/>
  <c r="R36" i="5"/>
  <c r="H36" i="5"/>
  <c r="M36" i="5" s="1"/>
  <c r="R35" i="5"/>
  <c r="H35" i="5"/>
  <c r="M35" i="5" s="1"/>
  <c r="R34" i="5"/>
  <c r="H34" i="5"/>
  <c r="M34" i="5" s="1"/>
  <c r="R33" i="5"/>
  <c r="H33" i="5"/>
  <c r="M33" i="5" s="1"/>
  <c r="R29" i="5"/>
  <c r="H29" i="5"/>
  <c r="M29" i="5" s="1"/>
  <c r="U8" i="5"/>
  <c r="P8" i="5"/>
  <c r="K8" i="5"/>
  <c r="F8" i="5"/>
  <c r="G20" i="10"/>
  <c r="C20" i="10"/>
  <c r="G19" i="10"/>
  <c r="C19" i="10"/>
  <c r="G16" i="10"/>
  <c r="C16" i="10"/>
  <c r="G10" i="10"/>
  <c r="C10" i="10"/>
  <c r="G4" i="10"/>
  <c r="C4" i="10"/>
  <c r="E61" i="5" s="1"/>
  <c r="G48" i="16"/>
  <c r="G47" i="16"/>
  <c r="G49" i="16" s="1"/>
  <c r="G52" i="16" s="1"/>
  <c r="C52" i="16"/>
  <c r="C49" i="16"/>
  <c r="C52" i="14"/>
  <c r="E56" i="5" s="1"/>
  <c r="J56" i="5" s="1"/>
  <c r="G48" i="14"/>
  <c r="G47" i="14"/>
  <c r="C49" i="14"/>
  <c r="G42" i="14"/>
  <c r="U55" i="13"/>
  <c r="C36" i="14" s="1"/>
  <c r="G36" i="14" s="1"/>
  <c r="G33" i="14"/>
  <c r="F54" i="5" s="1"/>
  <c r="P54" i="5" s="1"/>
  <c r="G30" i="14"/>
  <c r="C33" i="14"/>
  <c r="E54" i="5" s="1"/>
  <c r="G21" i="14"/>
  <c r="F52" i="5" s="1"/>
  <c r="P52" i="5" s="1"/>
  <c r="C21" i="14"/>
  <c r="E52" i="5" s="1"/>
  <c r="G15" i="14"/>
  <c r="G13" i="14"/>
  <c r="G12" i="14"/>
  <c r="C13" i="14"/>
  <c r="G7" i="14"/>
  <c r="G5" i="14"/>
  <c r="G9" i="14" s="1"/>
  <c r="F50" i="5" s="1"/>
  <c r="P50" i="5" s="1"/>
  <c r="C12" i="14"/>
  <c r="G4" i="14"/>
  <c r="C4" i="14"/>
  <c r="C5" i="14" s="1"/>
  <c r="C9" i="14" s="1"/>
  <c r="E50" i="5" s="1"/>
  <c r="G42" i="15"/>
  <c r="Q55" i="13"/>
  <c r="C36" i="15" s="1"/>
  <c r="G36" i="15" s="1"/>
  <c r="G30" i="15"/>
  <c r="G33" i="15" s="1"/>
  <c r="C33" i="15"/>
  <c r="G21" i="15"/>
  <c r="F42" i="5" s="1"/>
  <c r="C21" i="15"/>
  <c r="E42" i="5" s="1"/>
  <c r="G15" i="15"/>
  <c r="G13" i="15"/>
  <c r="G12" i="15"/>
  <c r="C13" i="15"/>
  <c r="C9" i="15"/>
  <c r="E40" i="5" s="1"/>
  <c r="G9" i="15"/>
  <c r="G7" i="15"/>
  <c r="G5" i="15"/>
  <c r="C5" i="15"/>
  <c r="C12" i="15"/>
  <c r="G4" i="15"/>
  <c r="C4" i="15"/>
  <c r="M55" i="13"/>
  <c r="C36" i="16" s="1"/>
  <c r="G36" i="16" s="1"/>
  <c r="I55" i="13"/>
  <c r="C36" i="7" s="1"/>
  <c r="G36" i="7" s="1"/>
  <c r="D55" i="13"/>
  <c r="C30" i="6" s="1"/>
  <c r="G30" i="6" s="1"/>
  <c r="G42" i="16"/>
  <c r="G30" i="16"/>
  <c r="G21" i="16"/>
  <c r="F31" i="5" s="1"/>
  <c r="P31" i="5" s="1"/>
  <c r="C21" i="16"/>
  <c r="E31" i="5" s="1"/>
  <c r="J31" i="5" s="1"/>
  <c r="G13" i="16"/>
  <c r="C13" i="16"/>
  <c r="G5" i="16"/>
  <c r="C5" i="16"/>
  <c r="G12" i="16"/>
  <c r="C12" i="16"/>
  <c r="G4" i="16"/>
  <c r="C4" i="16"/>
  <c r="G42" i="7"/>
  <c r="C33" i="7"/>
  <c r="G30" i="7"/>
  <c r="G21" i="7"/>
  <c r="C21" i="7"/>
  <c r="G15" i="7"/>
  <c r="G13" i="7"/>
  <c r="C13" i="7"/>
  <c r="G12" i="7"/>
  <c r="C12" i="7"/>
  <c r="G9" i="7"/>
  <c r="C9" i="7"/>
  <c r="G7" i="7"/>
  <c r="G5" i="7"/>
  <c r="G4" i="7"/>
  <c r="C4" i="7"/>
  <c r="G42" i="6"/>
  <c r="G41" i="6"/>
  <c r="C46" i="6"/>
  <c r="G36" i="6"/>
  <c r="C27" i="6"/>
  <c r="G24" i="6"/>
  <c r="G21" i="6"/>
  <c r="C21" i="6"/>
  <c r="G13" i="6"/>
  <c r="C13" i="6"/>
  <c r="G12" i="6"/>
  <c r="C12" i="6"/>
  <c r="C9" i="6"/>
  <c r="E9" i="5" s="1"/>
  <c r="G5" i="6"/>
  <c r="O10" i="3"/>
  <c r="N10" i="3"/>
  <c r="M10" i="3"/>
  <c r="J10" i="3"/>
  <c r="J11" i="3"/>
  <c r="G4" i="6"/>
  <c r="C4" i="6"/>
  <c r="U54" i="13"/>
  <c r="Q54" i="13"/>
  <c r="M54" i="13"/>
  <c r="U25" i="13"/>
  <c r="Q25" i="13"/>
  <c r="M25" i="13"/>
  <c r="I54" i="13"/>
  <c r="D54" i="13"/>
  <c r="I25" i="13"/>
  <c r="D25" i="13"/>
  <c r="G15" i="6" s="1"/>
  <c r="H40" i="8"/>
  <c r="K14" i="5" l="1"/>
  <c r="P40" i="5"/>
  <c r="P42" i="5"/>
  <c r="U14" i="5"/>
  <c r="P44" i="5"/>
  <c r="G7" i="6"/>
  <c r="G9" i="6" s="1"/>
  <c r="P35" i="5"/>
  <c r="U35" i="5"/>
  <c r="K35" i="5"/>
  <c r="T35" i="5"/>
  <c r="J35" i="5"/>
  <c r="O35" i="5" s="1"/>
  <c r="O56" i="5"/>
  <c r="T56" i="5"/>
  <c r="G49" i="14"/>
  <c r="G52" i="14" s="1"/>
  <c r="F56" i="5" s="1"/>
  <c r="H49" i="14"/>
  <c r="U51" i="5"/>
  <c r="F51" i="5"/>
  <c r="K51" i="5"/>
  <c r="P51" i="5" s="1"/>
  <c r="T51" i="5"/>
  <c r="J51" i="5"/>
  <c r="O51" i="5" s="1"/>
  <c r="E51" i="5"/>
  <c r="U41" i="5"/>
  <c r="K41" i="5"/>
  <c r="P41" i="5" s="1"/>
  <c r="F41" i="5"/>
  <c r="T41" i="5"/>
  <c r="E41" i="5"/>
  <c r="J41" i="5"/>
  <c r="O41" i="5" s="1"/>
  <c r="F10" i="5"/>
  <c r="K10" i="5"/>
  <c r="J20" i="5"/>
  <c r="O20" i="5" s="1"/>
  <c r="K20" i="5"/>
  <c r="P20" i="5" s="1"/>
  <c r="E30" i="5"/>
  <c r="F33" i="5"/>
  <c r="G22" i="10"/>
  <c r="F63" i="5" s="1"/>
  <c r="P63" i="5" s="1"/>
  <c r="C22" i="10"/>
  <c r="E63" i="5" s="1"/>
  <c r="G7" i="16"/>
  <c r="G9" i="16" s="1"/>
  <c r="F29" i="5" s="1"/>
  <c r="P29" i="5" s="1"/>
  <c r="G15" i="16"/>
  <c r="T30" i="5"/>
  <c r="J30" i="5"/>
  <c r="U30" i="5"/>
  <c r="F30" i="5"/>
  <c r="K30" i="5"/>
  <c r="P30" i="5" s="1"/>
  <c r="K53" i="5"/>
  <c r="U53" i="5"/>
  <c r="P53" i="5"/>
  <c r="T53" i="5"/>
  <c r="O53" i="5"/>
  <c r="J53" i="5"/>
  <c r="U43" i="5"/>
  <c r="K43" i="5"/>
  <c r="P43" i="5"/>
  <c r="T43" i="5"/>
  <c r="O43" i="5"/>
  <c r="J43" i="5"/>
  <c r="J32" i="5"/>
  <c r="T32" i="5"/>
  <c r="P32" i="5"/>
  <c r="K32" i="5"/>
  <c r="J29" i="5"/>
  <c r="O29" i="5"/>
  <c r="T29" i="5"/>
  <c r="U42" i="5"/>
  <c r="K42" i="5"/>
  <c r="T42" i="5"/>
  <c r="O42" i="5"/>
  <c r="J42" i="5"/>
  <c r="T33" i="5"/>
  <c r="O33" i="5"/>
  <c r="J33" i="5"/>
  <c r="U54" i="5"/>
  <c r="K54" i="5"/>
  <c r="T54" i="5"/>
  <c r="O54" i="5"/>
  <c r="J54" i="5"/>
  <c r="U52" i="5"/>
  <c r="K52" i="5"/>
  <c r="O52" i="5"/>
  <c r="J52" i="5"/>
  <c r="T52" i="5"/>
  <c r="U50" i="5"/>
  <c r="K50" i="5"/>
  <c r="T50" i="5"/>
  <c r="O50" i="5"/>
  <c r="J50" i="5"/>
  <c r="U44" i="5"/>
  <c r="K44" i="5"/>
  <c r="T44" i="5"/>
  <c r="O44" i="5"/>
  <c r="J44" i="5"/>
  <c r="U40" i="5"/>
  <c r="K40" i="5"/>
  <c r="T40" i="5"/>
  <c r="J40" i="5"/>
  <c r="O40" i="5"/>
  <c r="H43" i="6"/>
  <c r="T31" i="5"/>
  <c r="O31" i="5"/>
  <c r="H49" i="16"/>
  <c r="C40" i="14"/>
  <c r="C44" i="14" s="1"/>
  <c r="E55" i="5" s="1"/>
  <c r="G40" i="14"/>
  <c r="G44" i="14" s="1"/>
  <c r="F55" i="5" s="1"/>
  <c r="G40" i="15"/>
  <c r="G44" i="15" s="1"/>
  <c r="F45" i="5" s="1"/>
  <c r="K45" i="5" s="1"/>
  <c r="C40" i="15"/>
  <c r="C44" i="15" s="1"/>
  <c r="E45" i="5" s="1"/>
  <c r="G40" i="16"/>
  <c r="G44" i="16" s="1"/>
  <c r="F34" i="5" s="1"/>
  <c r="C40" i="16"/>
  <c r="C44" i="16" s="1"/>
  <c r="E34" i="5" s="1"/>
  <c r="F33" i="8"/>
  <c r="G33" i="8"/>
  <c r="F34" i="8"/>
  <c r="G34" i="8"/>
  <c r="F35" i="8"/>
  <c r="G35" i="8"/>
  <c r="F36" i="8"/>
  <c r="G36" i="8"/>
  <c r="F37" i="8"/>
  <c r="G37" i="8"/>
  <c r="F38" i="8"/>
  <c r="G38" i="8"/>
  <c r="H38" i="8"/>
  <c r="H32" i="8"/>
  <c r="G32" i="8"/>
  <c r="F32" i="8"/>
  <c r="U91" i="5" l="1"/>
  <c r="T91" i="5"/>
  <c r="P10" i="5"/>
  <c r="P91" i="5" s="1"/>
  <c r="K91" i="5"/>
  <c r="O30" i="5"/>
  <c r="O91" i="5" s="1"/>
  <c r="J91" i="5"/>
  <c r="T45" i="5"/>
  <c r="E46" i="5"/>
  <c r="T46" i="5" s="1"/>
  <c r="T74" i="5" s="1"/>
  <c r="J45" i="5"/>
  <c r="J46" i="5" s="1"/>
  <c r="J74" i="5" s="1"/>
  <c r="P45" i="5"/>
  <c r="P46" i="5" s="1"/>
  <c r="P74" i="5" s="1"/>
  <c r="F46" i="5"/>
  <c r="U46" i="5" s="1"/>
  <c r="U74" i="5" s="1"/>
  <c r="O45" i="5"/>
  <c r="O46" i="5" s="1"/>
  <c r="O74" i="5" s="1"/>
  <c r="U45" i="5"/>
  <c r="P55" i="5"/>
  <c r="K56" i="5"/>
  <c r="U56" i="5"/>
  <c r="P56" i="5"/>
  <c r="E57" i="5"/>
  <c r="T55" i="5"/>
  <c r="O55" i="5"/>
  <c r="J55" i="5"/>
  <c r="F57" i="5"/>
  <c r="U55" i="5"/>
  <c r="K55" i="5"/>
  <c r="U63" i="5"/>
  <c r="K63" i="5"/>
  <c r="J63" i="5"/>
  <c r="O63" i="5"/>
  <c r="T63" i="5"/>
  <c r="P33" i="5"/>
  <c r="U33" i="5"/>
  <c r="K33" i="5"/>
  <c r="U29" i="5"/>
  <c r="K29" i="5"/>
  <c r="K34" i="5"/>
  <c r="U34" i="5"/>
  <c r="P34" i="5"/>
  <c r="E36" i="5"/>
  <c r="J34" i="5"/>
  <c r="O34" i="5"/>
  <c r="T34" i="5"/>
  <c r="K46" i="5"/>
  <c r="K74" i="5" s="1"/>
  <c r="U31" i="5"/>
  <c r="K31" i="5"/>
  <c r="F36" i="5"/>
  <c r="H37" i="8"/>
  <c r="H36" i="8"/>
  <c r="H35" i="8"/>
  <c r="H34" i="8"/>
  <c r="H33" i="8"/>
  <c r="Q23" i="8"/>
  <c r="P57" i="5" l="1"/>
  <c r="P75" i="5" s="1"/>
  <c r="E74" i="5"/>
  <c r="F74" i="5"/>
  <c r="J57" i="5"/>
  <c r="J75" i="5" s="1"/>
  <c r="O57" i="5"/>
  <c r="O75" i="5" s="1"/>
  <c r="O36" i="5"/>
  <c r="O73" i="5" s="1"/>
  <c r="K57" i="5"/>
  <c r="K75" i="5" s="1"/>
  <c r="T57" i="5"/>
  <c r="T75" i="5" s="1"/>
  <c r="E75" i="5"/>
  <c r="U57" i="5"/>
  <c r="U75" i="5" s="1"/>
  <c r="F75" i="5"/>
  <c r="P36" i="5"/>
  <c r="P73" i="5" s="1"/>
  <c r="T36" i="5"/>
  <c r="T73" i="5" s="1"/>
  <c r="E73" i="5"/>
  <c r="K36" i="5"/>
  <c r="K73" i="5" s="1"/>
  <c r="U36" i="5"/>
  <c r="U73" i="5" s="1"/>
  <c r="F73" i="5"/>
  <c r="O20" i="8"/>
  <c r="Q20" i="8" s="1"/>
  <c r="P20" i="8"/>
  <c r="O21" i="8"/>
  <c r="P21" i="8"/>
  <c r="Q21" i="8" l="1"/>
  <c r="Q19" i="8"/>
  <c r="P19" i="8"/>
  <c r="O19" i="8"/>
  <c r="Q18" i="8" l="1"/>
  <c r="P18" i="8"/>
  <c r="O18" i="8"/>
  <c r="Q15" i="8" l="1"/>
  <c r="N11" i="8" l="1"/>
  <c r="M12" i="8"/>
  <c r="N12" i="8"/>
  <c r="L12" i="8"/>
  <c r="M11" i="8" l="1"/>
  <c r="L11" i="8"/>
  <c r="Q6" i="8" l="1"/>
  <c r="O4" i="8"/>
  <c r="P4" i="8"/>
  <c r="P6" i="8"/>
  <c r="P7" i="8"/>
  <c r="P8" i="8"/>
  <c r="P9" i="8"/>
  <c r="P10" i="8"/>
  <c r="P11" i="8"/>
  <c r="P12" i="8"/>
  <c r="O6" i="8"/>
  <c r="O7" i="8"/>
  <c r="O8" i="8"/>
  <c r="O9" i="8"/>
  <c r="O10" i="8"/>
  <c r="O11" i="8"/>
  <c r="O12" i="8"/>
  <c r="Q4" i="8" l="1"/>
  <c r="Q12" i="8"/>
  <c r="Q11" i="8"/>
  <c r="Q10" i="8"/>
  <c r="Q9" i="8"/>
  <c r="Q8" i="8"/>
  <c r="Q7" i="8"/>
  <c r="Q5" i="8"/>
  <c r="P5" i="8"/>
  <c r="O5" i="8"/>
  <c r="H12" i="8" l="1"/>
  <c r="G43" i="6" l="1"/>
  <c r="D19" i="3"/>
  <c r="C43" i="6" s="1"/>
  <c r="E14" i="5" l="1"/>
  <c r="J83" i="5"/>
  <c r="O67" i="5"/>
  <c r="O77" i="5" s="1"/>
  <c r="D46" i="6"/>
  <c r="R20" i="5"/>
  <c r="H20" i="5"/>
  <c r="M20" i="5" s="1"/>
  <c r="E20" i="5"/>
  <c r="E10" i="5"/>
  <c r="F11" i="5"/>
  <c r="E11" i="5"/>
  <c r="F21" i="5"/>
  <c r="P21" i="5" s="1"/>
  <c r="E21" i="5"/>
  <c r="O61" i="5"/>
  <c r="E91" i="5" l="1"/>
  <c r="P11" i="5"/>
  <c r="P92" i="5" s="1"/>
  <c r="F92" i="5"/>
  <c r="E92" i="5"/>
  <c r="J14" i="5"/>
  <c r="T14" i="5"/>
  <c r="O11" i="5"/>
  <c r="J11" i="5"/>
  <c r="G85" i="5"/>
  <c r="T21" i="5"/>
  <c r="O21" i="5"/>
  <c r="U21" i="5"/>
  <c r="K21" i="5"/>
  <c r="U11" i="5"/>
  <c r="K11" i="5"/>
  <c r="G84" i="5"/>
  <c r="J84" i="5"/>
  <c r="J85" i="5"/>
  <c r="F20" i="5"/>
  <c r="F91" i="5" s="1"/>
  <c r="H46" i="6"/>
  <c r="T11" i="5"/>
  <c r="J21" i="5"/>
  <c r="F61" i="5"/>
  <c r="P61" i="5" s="1"/>
  <c r="E62" i="5"/>
  <c r="J61" i="5"/>
  <c r="T61" i="5"/>
  <c r="J92" i="5" l="1"/>
  <c r="K92" i="5"/>
  <c r="U92" i="5"/>
  <c r="O14" i="5"/>
  <c r="O92" i="5"/>
  <c r="T92" i="5"/>
  <c r="T62" i="5"/>
  <c r="T64" i="5" s="1"/>
  <c r="T76" i="5" s="1"/>
  <c r="T96" i="5" s="1"/>
  <c r="O62" i="5"/>
  <c r="O64" i="5" s="1"/>
  <c r="O76" i="5" s="1"/>
  <c r="O96" i="5" s="1"/>
  <c r="K61" i="5"/>
  <c r="G46" i="6"/>
  <c r="F62" i="5"/>
  <c r="P62" i="5" s="1"/>
  <c r="J62" i="5"/>
  <c r="J64" i="5" s="1"/>
  <c r="J76" i="5" s="1"/>
  <c r="J96" i="5" s="1"/>
  <c r="U61" i="5"/>
  <c r="E64" i="5"/>
  <c r="E76" i="5" s="1"/>
  <c r="E96" i="5" s="1"/>
  <c r="K62" i="5" l="1"/>
  <c r="K64" i="5" s="1"/>
  <c r="K76" i="5" s="1"/>
  <c r="K96" i="5" s="1"/>
  <c r="P64" i="5"/>
  <c r="P76" i="5" s="1"/>
  <c r="P96" i="5" s="1"/>
  <c r="U62" i="5"/>
  <c r="U64" i="5" s="1"/>
  <c r="U76" i="5" s="1"/>
  <c r="U96" i="5" s="1"/>
  <c r="F64" i="5"/>
  <c r="F76" i="5" s="1"/>
  <c r="F96" i="5" s="1"/>
  <c r="H28" i="8" l="1"/>
  <c r="G26" i="8"/>
  <c r="H26" i="8"/>
  <c r="F26" i="8"/>
  <c r="G25" i="8" l="1"/>
  <c r="H25" i="8"/>
  <c r="F25" i="8"/>
  <c r="F16" i="8" l="1"/>
  <c r="F17" i="8"/>
  <c r="F18" i="8"/>
  <c r="F19" i="8"/>
  <c r="F20" i="8"/>
  <c r="F21" i="8"/>
  <c r="F22" i="8"/>
  <c r="F23" i="8"/>
  <c r="F24" i="8"/>
  <c r="G16" i="8"/>
  <c r="G17" i="8"/>
  <c r="G18" i="8"/>
  <c r="G19" i="8"/>
  <c r="G20" i="8"/>
  <c r="G21" i="8"/>
  <c r="G22" i="8"/>
  <c r="G23" i="8"/>
  <c r="G24" i="8"/>
  <c r="H16" i="8"/>
  <c r="H17" i="8"/>
  <c r="H18" i="8"/>
  <c r="H19" i="8"/>
  <c r="H20" i="8"/>
  <c r="H21" i="8"/>
  <c r="H22" i="8"/>
  <c r="H23" i="8"/>
  <c r="H24" i="8"/>
  <c r="F5" i="8"/>
  <c r="F6" i="8"/>
  <c r="F7" i="8"/>
  <c r="F8" i="8"/>
  <c r="F9" i="8"/>
  <c r="F10" i="8"/>
  <c r="F11" i="8"/>
  <c r="G5" i="8"/>
  <c r="G6" i="8"/>
  <c r="G7" i="8"/>
  <c r="G8" i="8"/>
  <c r="G9" i="8"/>
  <c r="G10" i="8"/>
  <c r="G11" i="8"/>
  <c r="H5" i="8"/>
  <c r="H6" i="8"/>
  <c r="H7" i="8"/>
  <c r="H8" i="8"/>
  <c r="H9" i="8"/>
  <c r="H10" i="8"/>
  <c r="H11" i="8"/>
  <c r="H15" i="8"/>
  <c r="G15" i="8"/>
  <c r="F15" i="8"/>
  <c r="H4" i="8"/>
  <c r="G4" i="8"/>
  <c r="F4" i="8"/>
  <c r="E77" i="5" l="1"/>
  <c r="J77" i="5"/>
  <c r="M67" i="5"/>
  <c r="H22" i="5"/>
  <c r="M22" i="5" s="1"/>
  <c r="H23" i="5"/>
  <c r="M23" i="5" s="1"/>
  <c r="H24" i="5"/>
  <c r="M24" i="5" s="1"/>
  <c r="H25" i="5"/>
  <c r="M25" i="5" s="1"/>
  <c r="H19" i="5"/>
  <c r="M19" i="5" s="1"/>
  <c r="H12" i="5"/>
  <c r="M12" i="5" s="1"/>
  <c r="H13" i="5"/>
  <c r="M13" i="5" s="1"/>
  <c r="H14" i="5"/>
  <c r="M14" i="5" s="1"/>
  <c r="H15" i="5"/>
  <c r="M15" i="5" s="1"/>
  <c r="H9" i="5"/>
  <c r="M9" i="5" s="1"/>
  <c r="H78" i="5"/>
  <c r="M78" i="5" s="1"/>
  <c r="T67" i="5"/>
  <c r="T77" i="5" s="1"/>
  <c r="R67" i="5"/>
  <c r="R25" i="5"/>
  <c r="R22" i="5"/>
  <c r="R23" i="5"/>
  <c r="R24" i="5"/>
  <c r="R19" i="5"/>
  <c r="R9" i="5"/>
  <c r="R13" i="5"/>
  <c r="R14" i="5"/>
  <c r="R15" i="5"/>
  <c r="R12" i="5"/>
  <c r="F22" i="5"/>
  <c r="P22" i="5" s="1"/>
  <c r="E22" i="5"/>
  <c r="C40" i="7"/>
  <c r="C44" i="7" s="1"/>
  <c r="G40" i="7"/>
  <c r="E23" i="5"/>
  <c r="O23" i="5" s="1"/>
  <c r="G34" i="6"/>
  <c r="G38" i="6" s="1"/>
  <c r="C34" i="6"/>
  <c r="C38" i="6" s="1"/>
  <c r="E12" i="5"/>
  <c r="T3" i="5"/>
  <c r="O12" i="5" l="1"/>
  <c r="E93" i="5"/>
  <c r="C5" i="6"/>
  <c r="P67" i="5"/>
  <c r="P77" i="5" s="1"/>
  <c r="K67" i="5"/>
  <c r="K77" i="5" s="1"/>
  <c r="E24" i="5"/>
  <c r="E95" i="5" s="1"/>
  <c r="K22" i="5"/>
  <c r="T22" i="5"/>
  <c r="O22" i="5"/>
  <c r="U22" i="5"/>
  <c r="F19" i="5"/>
  <c r="P19" i="5" s="1"/>
  <c r="C5" i="7"/>
  <c r="F23" i="5"/>
  <c r="P23" i="5" s="1"/>
  <c r="E13" i="5"/>
  <c r="F12" i="5"/>
  <c r="F13" i="5"/>
  <c r="T23" i="5"/>
  <c r="J23" i="5"/>
  <c r="J36" i="5" s="1"/>
  <c r="J73" i="5" s="1"/>
  <c r="T12" i="5"/>
  <c r="J12" i="5"/>
  <c r="J22" i="5"/>
  <c r="F77" i="5"/>
  <c r="U67" i="5"/>
  <c r="U77" i="5" s="1"/>
  <c r="G44" i="7"/>
  <c r="F24" i="5" s="1"/>
  <c r="C18" i="3"/>
  <c r="P13" i="5" l="1"/>
  <c r="P94" i="5" s="1"/>
  <c r="F94" i="5"/>
  <c r="P12" i="5"/>
  <c r="P93" i="5" s="1"/>
  <c r="F93" i="5"/>
  <c r="O13" i="5"/>
  <c r="O94" i="5" s="1"/>
  <c r="E94" i="5"/>
  <c r="P24" i="5"/>
  <c r="P95" i="5" s="1"/>
  <c r="F95" i="5"/>
  <c r="J93" i="5"/>
  <c r="T93" i="5"/>
  <c r="O93" i="5"/>
  <c r="T24" i="5"/>
  <c r="T95" i="5" s="1"/>
  <c r="O24" i="5"/>
  <c r="O95" i="5" s="1"/>
  <c r="J24" i="5"/>
  <c r="J95" i="5" s="1"/>
  <c r="K19" i="5"/>
  <c r="K24" i="5"/>
  <c r="K95" i="5" s="1"/>
  <c r="K13" i="5"/>
  <c r="K12" i="5"/>
  <c r="K93" i="5" s="1"/>
  <c r="K23" i="5"/>
  <c r="U13" i="5"/>
  <c r="U19" i="5"/>
  <c r="E19" i="5"/>
  <c r="U23" i="5"/>
  <c r="J13" i="5"/>
  <c r="J94" i="5" s="1"/>
  <c r="T13" i="5"/>
  <c r="T94" i="5" s="1"/>
  <c r="U12" i="5"/>
  <c r="U93" i="5" s="1"/>
  <c r="O9" i="5"/>
  <c r="F9" i="5"/>
  <c r="U24" i="5"/>
  <c r="U95" i="5" s="1"/>
  <c r="F25" i="5"/>
  <c r="K94" i="5" l="1"/>
  <c r="P9" i="5"/>
  <c r="P90" i="5" s="1"/>
  <c r="F90" i="5"/>
  <c r="F97" i="5" s="1"/>
  <c r="O15" i="5"/>
  <c r="O19" i="5"/>
  <c r="O90" i="5" s="1"/>
  <c r="E90" i="5"/>
  <c r="U94" i="5"/>
  <c r="O25" i="5"/>
  <c r="O72" i="5" s="1"/>
  <c r="K25" i="5"/>
  <c r="K72" i="5" s="1"/>
  <c r="P25" i="5"/>
  <c r="P72" i="5" s="1"/>
  <c r="K9" i="5"/>
  <c r="U9" i="5"/>
  <c r="U90" i="5" s="1"/>
  <c r="E25" i="5"/>
  <c r="J19" i="5"/>
  <c r="J25" i="5" s="1"/>
  <c r="T19" i="5"/>
  <c r="F15" i="5"/>
  <c r="F71" i="5" s="1"/>
  <c r="T9" i="5"/>
  <c r="J9" i="5"/>
  <c r="E15" i="5"/>
  <c r="E71" i="5" s="1"/>
  <c r="F72" i="5"/>
  <c r="U25" i="5"/>
  <c r="U72" i="5" s="1"/>
  <c r="P15" i="5" l="1"/>
  <c r="E97" i="5"/>
  <c r="F98" i="5" s="1"/>
  <c r="C9" i="12" s="1"/>
  <c r="P71" i="5"/>
  <c r="P97" i="5"/>
  <c r="K15" i="5"/>
  <c r="K90" i="5"/>
  <c r="K97" i="5" s="1"/>
  <c r="T90" i="5"/>
  <c r="J15" i="5"/>
  <c r="J71" i="5" s="1"/>
  <c r="J90" i="5"/>
  <c r="O71" i="5"/>
  <c r="O78" i="5" s="1"/>
  <c r="O97" i="5"/>
  <c r="K71" i="5"/>
  <c r="U15" i="5"/>
  <c r="T15" i="5"/>
  <c r="J72" i="5"/>
  <c r="E72" i="5"/>
  <c r="T25" i="5"/>
  <c r="T72" i="5" s="1"/>
  <c r="J97" i="5" l="1"/>
  <c r="K98" i="5" s="1"/>
  <c r="T71" i="5"/>
  <c r="T97" i="5"/>
  <c r="U71" i="5"/>
  <c r="U97" i="5"/>
  <c r="F78" i="5"/>
  <c r="E78" i="5"/>
  <c r="P78" i="5"/>
  <c r="T78" i="5"/>
  <c r="K78" i="5"/>
  <c r="U78" i="5"/>
  <c r="J78" i="5"/>
  <c r="T79" i="5" l="1"/>
  <c r="D24" i="12" s="1"/>
  <c r="U98" i="5"/>
  <c r="K79" i="5"/>
  <c r="L78" i="5"/>
  <c r="D1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tc={A4DE12C2-03FB-4E40-A569-6952ED4CAD5B}</author>
  </authors>
  <commentList>
    <comment ref="C30" authorId="0" shapeId="0" xr:uid="{A4DE12C2-03FB-4E40-A569-6952ED4CAD5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handbook for estimating NABERS ratings A5.6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tc={5095CFE6-0292-492E-A13A-066954B0BA0F}</author>
    <author>tc={677D05E5-4DC6-40AD-8002-9CDDAA20F892}</author>
    <author>tc={B807BB12-8816-4B31-8F61-621122C5DCC5}</author>
    <author>tc={64BD0F80-C0BC-43DD-A208-8893748CF0CB}</author>
  </authors>
  <commentList>
    <comment ref="C4" authorId="0" shapeId="0" xr:uid="{5095CFE6-0292-492E-A13A-066954B0B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Green Star Multi-Unit Residential v1 GHG Guide Methodology Section 3.5 pg 29
Y:\GIW\7_Resources\Green Star &amp; ABGR\Green Star Rating Tools\GS - Multi Res\Guides\GHG Emissions Guide_01072009.pdf</t>
      </text>
    </comment>
    <comment ref="C8" authorId="1" shapeId="0" xr:uid="{677D05E5-4DC6-40AD-8002-9CDDAA20F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GBCA Energy Use Calc Guide Appendix  Table 55 Carpark and Loading Dock operational profiles</t>
      </text>
    </comment>
    <comment ref="C22" authorId="2" shapeId="0" xr:uid="{B807BB12-8816-4B31-8F61-621122C5DCC5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Green Star Multi-Unit Residential v1 GHG Guide Methodology - Lifts Benchmark pg 71
Y:\GIW\7_Resources\Green Star &amp; ABGR\Green Star Rating Tools\GS - Multi Res\Guides\GHG Emissions Guide_01072009.pdf
Assumptions per Table 30:
Speed - 1.0m/s
Ave power - 10kW
Standby Power - 70W</t>
      </text>
    </comment>
    <comment ref="G22" authorId="3" shapeId="0" xr:uid="{64BD0F80-C0BC-43DD-A208-8893748CF0C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Green Star Multi-Unit Residential v1 GHG Guide Methodology - Lifts Benchmark pg 71
Y:\GIW\7_Resources\Green Star &amp; ABGR\Green Star Rating Tools\GS - Multi Res\Guides\GHG Emissions Guide_01072009.pdf
Assumptions per Table 30:
Speed - 1.0m/s
Ave power - 10kW
Standby Power - 70W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tc={2A17CC58-6B29-43A0-9FBF-F492206ABB5A}</author>
    <author>tc={2BE5DA8E-1A18-404E-82C7-D436412CA4AD}</author>
  </authors>
  <commentList>
    <comment ref="F67" authorId="0" shapeId="0" xr:uid="{2A17CC58-6B29-43A0-9FBF-F492206ABB5A}">
      <text>
        <t>[Threaded comment]
Your version of Excel allows you to read this threaded comment; however, any edits to it will get removed if the file is opened in a newer version of Excel. Learn more: https://go.microsoft.com/fwlink/?linkid=870924
Comment:
    @IB is this formula ok? We just need to have this value in negative only?</t>
      </text>
    </comment>
    <comment ref="P70" authorId="1" shapeId="0" xr:uid="{2BE5DA8E-1A18-404E-82C7-D436412CA4AD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something here</t>
      </text>
    </comment>
  </commentList>
</comments>
</file>

<file path=xl/sharedStrings.xml><?xml version="1.0" encoding="utf-8"?>
<sst xmlns="http://schemas.openxmlformats.org/spreadsheetml/2006/main" count="1297" uniqueCount="244">
  <si>
    <t>Development</t>
  </si>
  <si>
    <t>Retail</t>
  </si>
  <si>
    <t>Office</t>
  </si>
  <si>
    <t>Carpark</t>
  </si>
  <si>
    <t>Services</t>
  </si>
  <si>
    <t>m2</t>
  </si>
  <si>
    <t>Type of HVAC system</t>
  </si>
  <si>
    <t>Efficency of HVAC system</t>
  </si>
  <si>
    <t>COP</t>
  </si>
  <si>
    <t>Type of hot water system</t>
  </si>
  <si>
    <t>Efficiency of hot water system</t>
  </si>
  <si>
    <t>% reduction on DTS compliance (heating &amp; cooling only)</t>
  </si>
  <si>
    <t>%</t>
  </si>
  <si>
    <t>% reduction on lighting power</t>
  </si>
  <si>
    <t>Energy</t>
  </si>
  <si>
    <t>kWh</t>
  </si>
  <si>
    <t>Water (BESS)</t>
  </si>
  <si>
    <t>Type of HVAC system (resi)</t>
  </si>
  <si>
    <t>Split system</t>
  </si>
  <si>
    <t>VRV/VRF</t>
  </si>
  <si>
    <t>Column1</t>
  </si>
  <si>
    <t>Standard COP</t>
  </si>
  <si>
    <t>Hydronic heating (heat pump)</t>
  </si>
  <si>
    <t>Hydronic heating (gas)</t>
  </si>
  <si>
    <t>Hot water system</t>
  </si>
  <si>
    <t>Heat pump</t>
  </si>
  <si>
    <t>Electric Instantaeous</t>
  </si>
  <si>
    <t xml:space="preserve">Gas </t>
  </si>
  <si>
    <t>Cooktops</t>
  </si>
  <si>
    <t>Electric induction</t>
  </si>
  <si>
    <t>Electric convection</t>
  </si>
  <si>
    <t>Gas</t>
  </si>
  <si>
    <t>Standard Energy use</t>
  </si>
  <si>
    <t>kW/h</t>
  </si>
  <si>
    <t>MJ/m2</t>
  </si>
  <si>
    <t>Location</t>
  </si>
  <si>
    <t>FR Climate Zone</t>
  </si>
  <si>
    <t>Climate zone</t>
  </si>
  <si>
    <t>MJ/hr</t>
  </si>
  <si>
    <t>21 Melbourne</t>
  </si>
  <si>
    <t>60 Tullamarine</t>
  </si>
  <si>
    <t>62 Moorabbin Airport</t>
  </si>
  <si>
    <t>Climate Zone</t>
  </si>
  <si>
    <t>7</t>
  </si>
  <si>
    <t>7.5</t>
  </si>
  <si>
    <t>8</t>
  </si>
  <si>
    <t>Total ACE MJ/m2</t>
  </si>
  <si>
    <t>Quantity</t>
  </si>
  <si>
    <t>Unit</t>
  </si>
  <si>
    <t xml:space="preserve">Climate Zone </t>
  </si>
  <si>
    <t>N/A</t>
  </si>
  <si>
    <t>Heating &amp; Cooling Load</t>
  </si>
  <si>
    <t>kWh/yr</t>
  </si>
  <si>
    <t>Reference Efficiency HVAC System</t>
  </si>
  <si>
    <t>Reference Heating &amp; Cooling Energy Use</t>
  </si>
  <si>
    <t>Heating &amp; Cooling Energy Use</t>
  </si>
  <si>
    <t>Appliances (kWh)</t>
  </si>
  <si>
    <t>W/m2</t>
  </si>
  <si>
    <t>Targeted averager power density</t>
  </si>
  <si>
    <t>Average hours of use per day</t>
  </si>
  <si>
    <t>hours</t>
  </si>
  <si>
    <t>Reference Appliance Energy Use</t>
  </si>
  <si>
    <t>Appliance Energy Use</t>
  </si>
  <si>
    <t>Lighting (kWh)</t>
  </si>
  <si>
    <t>Reference Lighting Power Density</t>
  </si>
  <si>
    <t>Lighting Power Density</t>
  </si>
  <si>
    <t>Hours of Operation per Day (Living)</t>
  </si>
  <si>
    <t>Reference Lighting Energy Use</t>
  </si>
  <si>
    <t>Lighting Energy Use</t>
  </si>
  <si>
    <t>Hot Water (kWh)</t>
  </si>
  <si>
    <t>Reference Total Hot Water Use</t>
  </si>
  <si>
    <t>L/yr</t>
  </si>
  <si>
    <t>Total Hot Water Use</t>
  </si>
  <si>
    <t>Cold Water Temp</t>
  </si>
  <si>
    <t>C</t>
  </si>
  <si>
    <t>Hot Water Temp</t>
  </si>
  <si>
    <t>Water Heat Capacity</t>
  </si>
  <si>
    <t>MJ/L/C</t>
  </si>
  <si>
    <t xml:space="preserve">Reference Energy Required </t>
  </si>
  <si>
    <t xml:space="preserve">Energy Required </t>
  </si>
  <si>
    <t>Reference Hot Water System Efficiency</t>
  </si>
  <si>
    <t>Hot Water System Efficiency</t>
  </si>
  <si>
    <t>Reference Hot Water Energy Use</t>
  </si>
  <si>
    <t>Hot Water Energy Use</t>
  </si>
  <si>
    <t>Efficiency HVAC System (heating)</t>
  </si>
  <si>
    <t>Cooktops (kWh)</t>
  </si>
  <si>
    <t>Reference average power density</t>
  </si>
  <si>
    <t>Energy use system</t>
  </si>
  <si>
    <t>Energy Use system</t>
  </si>
  <si>
    <t>hours/day</t>
  </si>
  <si>
    <t>Reference Cooktop Energy Use</t>
  </si>
  <si>
    <t>Cooktop Energy Use</t>
  </si>
  <si>
    <t>Reference</t>
  </si>
  <si>
    <t>Proposed</t>
  </si>
  <si>
    <t>Total</t>
  </si>
  <si>
    <t>Elec Price (normal)</t>
  </si>
  <si>
    <t>Elec Price (GP)</t>
  </si>
  <si>
    <t>Appliances</t>
  </si>
  <si>
    <t>Lighting</t>
  </si>
  <si>
    <t>Hot Water</t>
  </si>
  <si>
    <t>Solar</t>
  </si>
  <si>
    <t>Communal Areas</t>
  </si>
  <si>
    <t>Type of HVAC system retail</t>
  </si>
  <si>
    <t>kWh/m2</t>
  </si>
  <si>
    <t>Hours of Operation per Day</t>
  </si>
  <si>
    <t>Energy Cost</t>
  </si>
  <si>
    <t>Gas Price</t>
  </si>
  <si>
    <t>$/kWh</t>
  </si>
  <si>
    <t>TOTALS</t>
  </si>
  <si>
    <t>Energy Use (kWh/yr)</t>
  </si>
  <si>
    <t>Solar (kWh/yr)</t>
  </si>
  <si>
    <t>GHG Emissions (eqtCO2)</t>
  </si>
  <si>
    <t>786-794 Nicholson St, Fitzroy</t>
  </si>
  <si>
    <t>Area (m2)</t>
  </si>
  <si>
    <t>Heating (kWh)</t>
  </si>
  <si>
    <t>Cooling (kWh)</t>
  </si>
  <si>
    <t>Heating (kWhm2)</t>
  </si>
  <si>
    <t>Cooling (kWh/m2)</t>
  </si>
  <si>
    <t>Total H&amp;C (kWh/m2)</t>
  </si>
  <si>
    <t>303 Collins St, Melbourne</t>
  </si>
  <si>
    <t>14 Martin St, Heidelberg Rd</t>
  </si>
  <si>
    <t>14-18 Smith St</t>
  </si>
  <si>
    <t>13-19 Amsterdam St</t>
  </si>
  <si>
    <t>17-23 Wangaratta St</t>
  </si>
  <si>
    <t>71-89 Moorabool St</t>
  </si>
  <si>
    <t>167-169 Cremorne St</t>
  </si>
  <si>
    <t>18-20 Rutland St</t>
  </si>
  <si>
    <t>85 Dover St</t>
  </si>
  <si>
    <t>40-50 Rokeby St</t>
  </si>
  <si>
    <t>30 Cambridge St</t>
  </si>
  <si>
    <t>32-38 Rokeby St</t>
  </si>
  <si>
    <t>46 Gwynne St</t>
  </si>
  <si>
    <t>22 Black St</t>
  </si>
  <si>
    <t>No. of Lifts</t>
  </si>
  <si>
    <t>Lift Height</t>
  </si>
  <si>
    <t>m</t>
  </si>
  <si>
    <t>Lifts (kWh)</t>
  </si>
  <si>
    <t>Reference Lift Height</t>
  </si>
  <si>
    <t>Reference Lift Energy Use</t>
  </si>
  <si>
    <t>Carpark Ventilation (kWh)</t>
  </si>
  <si>
    <t>Lighting Carpark (kWh)</t>
  </si>
  <si>
    <t>Lighting Services (kWh)</t>
  </si>
  <si>
    <t>Carpark Ventilation</t>
  </si>
  <si>
    <t>OR</t>
  </si>
  <si>
    <t>J1V3 Modelling Results</t>
  </si>
  <si>
    <t>Fans</t>
  </si>
  <si>
    <t>Reference Fans</t>
  </si>
  <si>
    <t>Reference Lighting</t>
  </si>
  <si>
    <t>Proposed Fans</t>
  </si>
  <si>
    <t>Proposed Lighting</t>
  </si>
  <si>
    <t>Fan Energy (kWh)</t>
  </si>
  <si>
    <t>Reference Fan Energy</t>
  </si>
  <si>
    <t>Proposed Fan Energy</t>
  </si>
  <si>
    <t>GHG Emission Factor Gas</t>
  </si>
  <si>
    <t>Kg CO2/kWh</t>
  </si>
  <si>
    <t>Solar PV (whole building)</t>
  </si>
  <si>
    <t>Energy source</t>
  </si>
  <si>
    <t xml:space="preserve">Energy Source </t>
  </si>
  <si>
    <t>Energy Source</t>
  </si>
  <si>
    <t>Reference Heating Energy Use (Elec)</t>
  </si>
  <si>
    <t>Reference Cooling Energy Use (Elec)</t>
  </si>
  <si>
    <t>Proposed Heating Energy Use (Elec)</t>
  </si>
  <si>
    <t>Proposed Cooling Energy Use (Elec)</t>
  </si>
  <si>
    <t>Reference Heating Energy Use (Gas)</t>
  </si>
  <si>
    <t>Reference Cooling Energy Use (Gas)</t>
  </si>
  <si>
    <t>Proposed Heating Energy Use (Gas)</t>
  </si>
  <si>
    <t>Proposed Cooling Energy Use (Gas)</t>
  </si>
  <si>
    <t>Heating and Cooling Demand (Elec) (kWh)</t>
  </si>
  <si>
    <t>MJ/yr</t>
  </si>
  <si>
    <t>Heating and Cooling Demand (Gas) (MJ)</t>
  </si>
  <si>
    <t>Heating &amp; Cooling (Elec)</t>
  </si>
  <si>
    <t>Heating &amp; Cooling (Gas)</t>
  </si>
  <si>
    <t>$/MJ</t>
  </si>
  <si>
    <t>Kg CO2/MJ</t>
  </si>
  <si>
    <t>Number of occupants</t>
  </si>
  <si>
    <t>Occupants</t>
  </si>
  <si>
    <t>Percentage reduction potable water (BESS)</t>
  </si>
  <si>
    <t>Carbon Neutral</t>
  </si>
  <si>
    <t>Whole Development</t>
  </si>
  <si>
    <t>Base Building</t>
  </si>
  <si>
    <t>GP GHG emissions</t>
  </si>
  <si>
    <t>Reference Potable Water Use (BESS)</t>
  </si>
  <si>
    <t>Proposed (including rainwater and recycled water use) (BESS)</t>
  </si>
  <si>
    <t>kL/yr</t>
  </si>
  <si>
    <t>Whole Building</t>
  </si>
  <si>
    <t>Proposed (excluding rainwater and recycled water use) (BESS)</t>
  </si>
  <si>
    <t>Whole Building Water Use</t>
  </si>
  <si>
    <t>Rainwater Reuse</t>
  </si>
  <si>
    <t>Efficient FFE</t>
  </si>
  <si>
    <t>GHG Emission Factor Elec 2024</t>
  </si>
  <si>
    <t>Commercial Kitchen</t>
  </si>
  <si>
    <t>Reference Ventilation</t>
  </si>
  <si>
    <t>GHG Emissions (eqtCO2) With GP</t>
  </si>
  <si>
    <t>None</t>
  </si>
  <si>
    <t>Type</t>
  </si>
  <si>
    <t>Round down</t>
  </si>
  <si>
    <t>3</t>
  </si>
  <si>
    <t>Min. BCA 2022 Compliance</t>
  </si>
  <si>
    <t>GHG emission</t>
  </si>
  <si>
    <t>Development Address</t>
  </si>
  <si>
    <t>of operating cost reduction per apartment per year compared to minimum BCA 2022 Compliance.</t>
  </si>
  <si>
    <t>Reduction (Cost)</t>
  </si>
  <si>
    <t>Reduction compared to minimum BCA 2022 (eqtCO2)</t>
  </si>
  <si>
    <t>reduction in the whole building compared to minimum BCA 2022 Compliance.</t>
  </si>
  <si>
    <t>846-858 Glenferrie Rd, Hawthorn</t>
  </si>
  <si>
    <t>8 Egan St</t>
  </si>
  <si>
    <t>35-37 Mount St</t>
  </si>
  <si>
    <t>Aged Care</t>
  </si>
  <si>
    <t>Educational</t>
  </si>
  <si>
    <t>Kolbe</t>
  </si>
  <si>
    <t>Eastborne Primary</t>
  </si>
  <si>
    <t>St Joseph's College</t>
  </si>
  <si>
    <t>McKinnon Primary</t>
  </si>
  <si>
    <t>Clayton South Primary</t>
  </si>
  <si>
    <t>Gisborne Secondary</t>
  </si>
  <si>
    <t>Casey Central Primary</t>
  </si>
  <si>
    <t>Clyde Creek North Primary</t>
  </si>
  <si>
    <t>Clyde North</t>
  </si>
  <si>
    <t>Average</t>
  </si>
  <si>
    <t>Student accomodation</t>
  </si>
  <si>
    <t>100-102 Bouverie St</t>
  </si>
  <si>
    <t>204-206 King St</t>
  </si>
  <si>
    <t>43 Mackenzie St</t>
  </si>
  <si>
    <t>21-25 Bouverie St</t>
  </si>
  <si>
    <t>Romsey Aged Care</t>
  </si>
  <si>
    <t>102 Shrives Rd</t>
  </si>
  <si>
    <t>20 Tivendale Rd</t>
  </si>
  <si>
    <t>175 MacMahons Rd</t>
  </si>
  <si>
    <t>52 Golf Rd</t>
  </si>
  <si>
    <t>1505 Point Nepean</t>
  </si>
  <si>
    <t>Student Accomodation</t>
  </si>
  <si>
    <t>*All results are indicative only, based on preliminary assumptions.</t>
  </si>
  <si>
    <t>Student Accom</t>
  </si>
  <si>
    <t>No. Beds</t>
  </si>
  <si>
    <t>Carpark, Services &amp; Lift</t>
  </si>
  <si>
    <t>Applicances</t>
  </si>
  <si>
    <t>Lift</t>
  </si>
  <si>
    <t>Heating &amp; Cooling 
(Gas)</t>
  </si>
  <si>
    <t>Heating &amp; Cooling
(Elec)</t>
  </si>
  <si>
    <t>of total building energy reduction compared to minimum BCA 2022 Compliance.</t>
  </si>
  <si>
    <t>TOTAL BUILDING ENERGY USE</t>
  </si>
  <si>
    <t>Reduction compared to minimum BCA 2022</t>
  </si>
  <si>
    <t>Solar (eqtCO2)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</si>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</sst>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"/>
    <numFmt numFmtId="165" formatCode="_-&quot;$&quot;* #,##0_-;\-&quot;$&quot;* #,##0_-;_-&quot;$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Roboto Light"/>
    </font>
    <font>
      <b/>
      <sz val="13"/>
      <color theme="0"/>
      <name val="Roboto Light"/>
    </font>
    <font>
      <b/>
      <sz val="11"/>
      <color theme="0"/>
      <name val="Roboto Light"/>
    </font>
    <font>
      <b/>
      <sz val="11"/>
      <color theme="1"/>
      <name val="Roboto Light"/>
    </font>
    <font>
      <sz val="13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22"/>
      <color rgb="FF626262"/>
      <name val="Roboto"/>
    </font>
    <font>
      <sz val="12"/>
      <color rgb="FF626262"/>
      <name val="Aptos Narrow"/>
      <family val="2"/>
      <scheme val="minor"/>
    </font>
    <font>
      <sz val="11.5"/>
      <color rgb="FF626262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9"/>
      <color theme="0" tint="-0.499984740745262"/>
      <name val="Roboto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6" fillId="5" borderId="0" xfId="0" applyFont="1" applyFill="1"/>
    <xf numFmtId="0" fontId="0" fillId="5" borderId="0" xfId="0" applyFill="1"/>
    <xf numFmtId="0" fontId="5" fillId="0" borderId="0" xfId="0" applyFont="1"/>
    <xf numFmtId="0" fontId="4" fillId="6" borderId="0" xfId="3" applyFont="1" applyFill="1"/>
    <xf numFmtId="0" fontId="4" fillId="6" borderId="0" xfId="0" applyFont="1" applyFill="1"/>
    <xf numFmtId="164" fontId="4" fillId="6" borderId="0" xfId="0" applyNumberFormat="1" applyFont="1" applyFill="1"/>
    <xf numFmtId="43" fontId="0" fillId="5" borderId="0" xfId="1" applyFont="1" applyFill="1"/>
    <xf numFmtId="43" fontId="0" fillId="0" borderId="0" xfId="0" applyNumberFormat="1"/>
    <xf numFmtId="2" fontId="0" fillId="0" borderId="0" xfId="0" applyNumberFormat="1"/>
    <xf numFmtId="0" fontId="0" fillId="7" borderId="0" xfId="0" applyFill="1"/>
    <xf numFmtId="43" fontId="3" fillId="0" borderId="0" xfId="0" applyNumberFormat="1" applyFont="1"/>
    <xf numFmtId="43" fontId="0" fillId="0" borderId="0" xfId="1" applyFont="1" applyFill="1"/>
    <xf numFmtId="0" fontId="0" fillId="0" borderId="6" xfId="0" applyBorder="1"/>
    <xf numFmtId="0" fontId="0" fillId="0" borderId="8" xfId="0" applyBorder="1"/>
    <xf numFmtId="0" fontId="7" fillId="0" borderId="0" xfId="0" applyFont="1"/>
    <xf numFmtId="0" fontId="7" fillId="8" borderId="9" xfId="0" applyFont="1" applyFill="1" applyBorder="1"/>
    <xf numFmtId="0" fontId="7" fillId="8" borderId="6" xfId="0" applyFont="1" applyFill="1" applyBorder="1"/>
    <xf numFmtId="0" fontId="7" fillId="8" borderId="0" xfId="0" applyFont="1" applyFill="1"/>
    <xf numFmtId="0" fontId="7" fillId="8" borderId="7" xfId="0" applyFont="1" applyFill="1" applyBorder="1"/>
    <xf numFmtId="0" fontId="7" fillId="8" borderId="8" xfId="0" applyFont="1" applyFill="1" applyBorder="1"/>
    <xf numFmtId="0" fontId="7" fillId="8" borderId="10" xfId="0" applyFont="1" applyFill="1" applyBorder="1"/>
    <xf numFmtId="0" fontId="10" fillId="8" borderId="0" xfId="0" applyFont="1" applyFill="1"/>
    <xf numFmtId="0" fontId="7" fillId="8" borderId="11" xfId="0" applyFont="1" applyFill="1" applyBorder="1" applyAlignment="1">
      <alignment wrapText="1"/>
    </xf>
    <xf numFmtId="0" fontId="7" fillId="8" borderId="12" xfId="0" applyFont="1" applyFill="1" applyBorder="1"/>
    <xf numFmtId="0" fontId="7" fillId="8" borderId="11" xfId="0" applyFont="1" applyFill="1" applyBorder="1"/>
    <xf numFmtId="0" fontId="0" fillId="5" borderId="6" xfId="0" applyFill="1" applyBorder="1"/>
    <xf numFmtId="44" fontId="0" fillId="0" borderId="0" xfId="2" applyFont="1" applyBorder="1"/>
    <xf numFmtId="0" fontId="3" fillId="0" borderId="8" xfId="0" applyFont="1" applyBorder="1"/>
    <xf numFmtId="43" fontId="3" fillId="0" borderId="9" xfId="0" applyNumberFormat="1" applyFont="1" applyBorder="1"/>
    <xf numFmtId="43" fontId="0" fillId="0" borderId="9" xfId="0" applyNumberFormat="1" applyBorder="1"/>
    <xf numFmtId="0" fontId="0" fillId="0" borderId="9" xfId="0" applyBorder="1"/>
    <xf numFmtId="0" fontId="3" fillId="0" borderId="9" xfId="0" applyFont="1" applyBorder="1"/>
    <xf numFmtId="44" fontId="3" fillId="0" borderId="9" xfId="2" applyFont="1" applyBorder="1"/>
    <xf numFmtId="44" fontId="0" fillId="0" borderId="7" xfId="2" applyFont="1" applyBorder="1"/>
    <xf numFmtId="44" fontId="1" fillId="0" borderId="0" xfId="2" applyFont="1" applyBorder="1"/>
    <xf numFmtId="44" fontId="1" fillId="0" borderId="7" xfId="2" applyFont="1" applyBorder="1"/>
    <xf numFmtId="44" fontId="3" fillId="0" borderId="10" xfId="2" applyFont="1" applyBorder="1"/>
    <xf numFmtId="44" fontId="0" fillId="0" borderId="10" xfId="2" applyFont="1" applyBorder="1"/>
    <xf numFmtId="0" fontId="7" fillId="8" borderId="0" xfId="0" applyFont="1" applyFill="1" applyAlignment="1">
      <alignment horizontal="left" vertical="center"/>
    </xf>
    <xf numFmtId="0" fontId="0" fillId="0" borderId="7" xfId="0" applyBorder="1"/>
    <xf numFmtId="0" fontId="7" fillId="8" borderId="13" xfId="0" applyFont="1" applyFill="1" applyBorder="1"/>
    <xf numFmtId="0" fontId="7" fillId="8" borderId="0" xfId="0" applyFont="1" applyFill="1" applyAlignment="1">
      <alignment wrapText="1"/>
    </xf>
    <xf numFmtId="0" fontId="7" fillId="8" borderId="6" xfId="0" applyFont="1" applyFill="1" applyBorder="1" applyAlignment="1">
      <alignment wrapText="1"/>
    </xf>
    <xf numFmtId="0" fontId="7" fillId="8" borderId="12" xfId="0" applyFont="1" applyFill="1" applyBorder="1" applyAlignment="1">
      <alignment wrapText="1"/>
    </xf>
    <xf numFmtId="0" fontId="7" fillId="8" borderId="7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7" fillId="3" borderId="12" xfId="0" applyFont="1" applyFill="1" applyBorder="1"/>
    <xf numFmtId="0" fontId="7" fillId="3" borderId="12" xfId="0" applyFont="1" applyFill="1" applyBorder="1" applyAlignment="1">
      <alignment horizontal="right"/>
    </xf>
    <xf numFmtId="0" fontId="7" fillId="3" borderId="11" xfId="0" applyFont="1" applyFill="1" applyBorder="1" applyAlignment="1">
      <alignment horizontal="right"/>
    </xf>
    <xf numFmtId="0" fontId="7" fillId="4" borderId="12" xfId="0" applyFont="1" applyFill="1" applyBorder="1" applyAlignment="1">
      <alignment horizontal="right"/>
    </xf>
    <xf numFmtId="0" fontId="7" fillId="3" borderId="11" xfId="0" applyFont="1" applyFill="1" applyBorder="1"/>
    <xf numFmtId="0" fontId="7" fillId="3" borderId="12" xfId="0" applyFont="1" applyFill="1" applyBorder="1" applyAlignment="1">
      <alignment wrapText="1"/>
    </xf>
    <xf numFmtId="0" fontId="7" fillId="3" borderId="12" xfId="0" applyFont="1" applyFill="1" applyBorder="1" applyAlignment="1">
      <alignment horizontal="right" wrapText="1"/>
    </xf>
    <xf numFmtId="0" fontId="7" fillId="8" borderId="13" xfId="0" applyFont="1" applyFill="1" applyBorder="1" applyAlignment="1">
      <alignment wrapText="1"/>
    </xf>
    <xf numFmtId="0" fontId="7" fillId="3" borderId="13" xfId="0" applyFont="1" applyFill="1" applyBorder="1" applyAlignment="1">
      <alignment wrapText="1"/>
    </xf>
    <xf numFmtId="0" fontId="0" fillId="0" borderId="10" xfId="0" applyBorder="1"/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9" fontId="3" fillId="0" borderId="9" xfId="4" applyFont="1" applyBorder="1"/>
    <xf numFmtId="0" fontId="3" fillId="0" borderId="6" xfId="0" applyFont="1" applyBorder="1"/>
    <xf numFmtId="0" fontId="0" fillId="0" borderId="0" xfId="0" applyAlignment="1">
      <alignment wrapText="1"/>
    </xf>
    <xf numFmtId="9" fontId="0" fillId="0" borderId="0" xfId="4" applyFont="1" applyBorder="1"/>
    <xf numFmtId="9" fontId="0" fillId="0" borderId="9" xfId="4" applyFont="1" applyBorder="1"/>
    <xf numFmtId="0" fontId="12" fillId="0" borderId="0" xfId="0" applyFont="1"/>
    <xf numFmtId="164" fontId="4" fillId="6" borderId="0" xfId="3" applyNumberFormat="1" applyFont="1" applyFill="1"/>
    <xf numFmtId="0" fontId="0" fillId="5" borderId="0" xfId="0" applyFill="1" applyAlignment="1">
      <alignment wrapText="1"/>
    </xf>
    <xf numFmtId="0" fontId="0" fillId="0" borderId="9" xfId="0" applyBorder="1" applyAlignment="1">
      <alignment wrapText="1"/>
    </xf>
    <xf numFmtId="0" fontId="7" fillId="0" borderId="14" xfId="0" applyFont="1" applyBorder="1"/>
    <xf numFmtId="0" fontId="7" fillId="0" borderId="15" xfId="0" applyFont="1" applyBorder="1"/>
    <xf numFmtId="6" fontId="13" fillId="8" borderId="0" xfId="4" applyNumberFormat="1" applyFont="1" applyFill="1" applyBorder="1" applyAlignment="1">
      <alignment horizontal="left" vertical="top"/>
    </xf>
    <xf numFmtId="44" fontId="3" fillId="0" borderId="0" xfId="2" applyFont="1" applyBorder="1"/>
    <xf numFmtId="0" fontId="0" fillId="5" borderId="7" xfId="0" applyFill="1" applyBorder="1" applyAlignment="1">
      <alignment wrapText="1"/>
    </xf>
    <xf numFmtId="43" fontId="3" fillId="0" borderId="9" xfId="4" applyNumberFormat="1" applyFont="1" applyBorder="1"/>
    <xf numFmtId="0" fontId="7" fillId="11" borderId="12" xfId="0" applyFont="1" applyFill="1" applyBorder="1" applyAlignment="1">
      <alignment horizontal="right"/>
    </xf>
    <xf numFmtId="1" fontId="7" fillId="11" borderId="12" xfId="0" applyNumberFormat="1" applyFont="1" applyFill="1" applyBorder="1" applyAlignment="1">
      <alignment horizontal="right"/>
    </xf>
    <xf numFmtId="0" fontId="10" fillId="9" borderId="0" xfId="0" applyFont="1" applyFill="1" applyAlignment="1">
      <alignment horizontal="center"/>
    </xf>
    <xf numFmtId="2" fontId="16" fillId="0" borderId="0" xfId="0" applyNumberFormat="1" applyFont="1"/>
    <xf numFmtId="0" fontId="7" fillId="3" borderId="0" xfId="0" applyFont="1" applyFill="1" applyAlignment="1">
      <alignment horizontal="right"/>
    </xf>
    <xf numFmtId="0" fontId="7" fillId="8" borderId="4" xfId="0" applyFont="1" applyFill="1" applyBorder="1"/>
    <xf numFmtId="0" fontId="0" fillId="8" borderId="9" xfId="0" applyFill="1" applyBorder="1"/>
    <xf numFmtId="0" fontId="0" fillId="8" borderId="10" xfId="0" applyFill="1" applyBorder="1"/>
    <xf numFmtId="0" fontId="7" fillId="8" borderId="16" xfId="0" applyFont="1" applyFill="1" applyBorder="1"/>
    <xf numFmtId="0" fontId="7" fillId="8" borderId="17" xfId="0" applyFont="1" applyFill="1" applyBorder="1"/>
    <xf numFmtId="0" fontId="0" fillId="8" borderId="6" xfId="0" applyFill="1" applyBorder="1"/>
    <xf numFmtId="0" fontId="10" fillId="8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6" fontId="17" fillId="8" borderId="0" xfId="4" applyNumberFormat="1" applyFont="1" applyFill="1" applyBorder="1" applyAlignment="1">
      <alignment horizontal="right" vertical="center"/>
    </xf>
    <xf numFmtId="3" fontId="13" fillId="8" borderId="0" xfId="0" applyNumberFormat="1" applyFont="1" applyFill="1" applyAlignment="1">
      <alignment horizontal="left" vertical="top"/>
    </xf>
    <xf numFmtId="0" fontId="13" fillId="8" borderId="0" xfId="0" applyFont="1" applyFill="1" applyAlignment="1">
      <alignment horizontal="left" vertical="top"/>
    </xf>
    <xf numFmtId="0" fontId="0" fillId="8" borderId="0" xfId="0" applyFill="1" applyAlignment="1">
      <alignment horizontal="left" vertical="center" readingOrder="1"/>
    </xf>
    <xf numFmtId="0" fontId="7" fillId="8" borderId="0" xfId="0" applyFont="1" applyFill="1" applyAlignment="1">
      <alignment horizontal="left"/>
    </xf>
    <xf numFmtId="0" fontId="14" fillId="8" borderId="0" xfId="0" applyFont="1" applyFill="1" applyAlignment="1">
      <alignment horizontal="left" vertical="center"/>
    </xf>
    <xf numFmtId="0" fontId="7" fillId="8" borderId="0" xfId="0" applyFont="1" applyFill="1" applyAlignment="1">
      <alignment vertical="top"/>
    </xf>
    <xf numFmtId="0" fontId="14" fillId="8" borderId="0" xfId="0" applyFont="1" applyFill="1" applyAlignment="1">
      <alignment horizontal="left" vertical="center" wrapText="1"/>
    </xf>
    <xf numFmtId="0" fontId="14" fillId="8" borderId="0" xfId="0" applyFont="1" applyFill="1" applyAlignment="1">
      <alignment vertical="center" wrapText="1"/>
    </xf>
    <xf numFmtId="0" fontId="7" fillId="12" borderId="0" xfId="0" applyFont="1" applyFill="1"/>
    <xf numFmtId="2" fontId="4" fillId="6" borderId="0" xfId="3" applyNumberFormat="1" applyFont="1" applyFill="1"/>
    <xf numFmtId="44" fontId="0" fillId="0" borderId="0" xfId="2" applyFont="1"/>
    <xf numFmtId="43" fontId="0" fillId="0" borderId="0" xfId="1" applyFont="1"/>
    <xf numFmtId="43" fontId="3" fillId="0" borderId="18" xfId="0" applyNumberFormat="1" applyFont="1" applyBorder="1"/>
    <xf numFmtId="9" fontId="3" fillId="0" borderId="19" xfId="4" applyFont="1" applyBorder="1"/>
    <xf numFmtId="43" fontId="3" fillId="0" borderId="19" xfId="0" applyNumberFormat="1" applyFont="1" applyBorder="1"/>
    <xf numFmtId="43" fontId="3" fillId="0" borderId="19" xfId="4" applyNumberFormat="1" applyFont="1" applyBorder="1"/>
    <xf numFmtId="44" fontId="3" fillId="0" borderId="0" xfId="2" applyFont="1"/>
    <xf numFmtId="44" fontId="3" fillId="0" borderId="7" xfId="2" applyFont="1" applyBorder="1"/>
    <xf numFmtId="44" fontId="0" fillId="0" borderId="9" xfId="2" applyFont="1" applyBorder="1"/>
    <xf numFmtId="44" fontId="3" fillId="0" borderId="19" xfId="2" applyFont="1" applyBorder="1"/>
    <xf numFmtId="44" fontId="3" fillId="0" borderId="20" xfId="2" applyFont="1" applyBorder="1"/>
    <xf numFmtId="165" fontId="3" fillId="0" borderId="9" xfId="2" applyNumberFormat="1" applyFont="1" applyBorder="1"/>
    <xf numFmtId="165" fontId="13" fillId="8" borderId="0" xfId="4" applyNumberFormat="1" applyFont="1" applyFill="1" applyBorder="1" applyAlignment="1">
      <alignment horizontal="right" vertical="center"/>
    </xf>
    <xf numFmtId="0" fontId="15" fillId="8" borderId="0" xfId="0" applyFont="1" applyFill="1" applyAlignment="1">
      <alignment horizontal="left" vertical="center" wrapText="1"/>
    </xf>
    <xf numFmtId="3" fontId="13" fillId="8" borderId="0" xfId="0" applyNumberFormat="1" applyFont="1" applyFill="1" applyAlignment="1">
      <alignment horizontal="left" vertical="top"/>
    </xf>
    <xf numFmtId="0" fontId="13" fillId="8" borderId="0" xfId="0" applyFont="1" applyFill="1" applyAlignment="1">
      <alignment horizontal="left" vertical="top"/>
    </xf>
    <xf numFmtId="9" fontId="13" fillId="8" borderId="0" xfId="4" applyFont="1" applyFill="1" applyBorder="1" applyAlignment="1">
      <alignment horizontal="right" vertical="top"/>
    </xf>
    <xf numFmtId="3" fontId="13" fillId="8" borderId="0" xfId="0" applyNumberFormat="1" applyFont="1" applyFill="1" applyAlignment="1">
      <alignment horizontal="right" vertical="top"/>
    </xf>
    <xf numFmtId="0" fontId="10" fillId="9" borderId="0" xfId="0" applyFont="1" applyFill="1" applyAlignment="1">
      <alignment horizontal="center"/>
    </xf>
    <xf numFmtId="0" fontId="10" fillId="9" borderId="7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8" fillId="10" borderId="3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11" fillId="10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Comma" xfId="1" builtinId="3"/>
    <cellStyle name="Currency" xfId="2" builtinId="4"/>
    <cellStyle name="Good" xfId="3" builtinId="26"/>
    <cellStyle name="Normal" xfId="0" builtinId="0"/>
    <cellStyle name="Percent" xfId="4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7DC6A0"/>
      <color rgb="FF00893E"/>
      <color rgb="FF009342"/>
      <color rgb="FF007936"/>
      <color rgb="FF00602B"/>
      <color rgb="FF00C859"/>
      <color rgb="FF30FF8D"/>
      <color rgb="FF828282"/>
      <color rgb="FF007A37"/>
      <color rgb="FF63D4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083732344328426E-3"/>
          <c:y val="5.9180644369301504E-2"/>
          <c:w val="0.99579162676556721"/>
          <c:h val="0.896105055568043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'Totals Non-Residential'!$T$70</c:f>
              <c:strCache>
                <c:ptCount val="1"/>
                <c:pt idx="0">
                  <c:v>Min. BCA 2022 Compliance</c:v>
                </c:pt>
              </c:strCache>
            </c:strRef>
          </c:tx>
          <c:spPr>
            <a:solidFill>
              <a:schemeClr val="accent1"/>
            </a:solidFill>
            <a:ln w="44450" cap="rnd" cmpd="sng" algn="ctr">
              <a:solidFill>
                <a:srgbClr val="00893E"/>
              </a:solidFill>
              <a:round/>
            </a:ln>
            <a:effectLst/>
          </c:spPr>
          <c:invertIfNegative val="0"/>
          <c:dLbls>
            <c:numFmt formatCode="_(&quot;$&quot;* #,##0_);_(&quot;$&quot;* \(#,##0\);_(&quot;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'Totals Non-Residential'!$R$70</c:f>
              <c:strCache>
                <c:ptCount val="1"/>
                <c:pt idx="0">
                  <c:v>Energy Cost</c:v>
                </c:pt>
              </c:strCache>
            </c:strRef>
          </c:cat>
          <c:val>
            <c:numRef>
              <c:f>'Totals Non-Residential'!$T$78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5D-4BE1-BA91-B43C59E383AF}"/>
            </c:ext>
          </c:extLst>
        </c:ser>
        <c:ser>
          <c:idx val="1"/>
          <c:order val="1"/>
          <c:tx>
            <c:strRef>
              <c:f>'Totals Non-Residential'!$U$70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/>
            </a:solidFill>
            <a:ln w="44450" cap="rnd" cmpd="sng" algn="ctr">
              <a:solidFill>
                <a:srgbClr val="7DC6A0"/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44450" cap="rnd" cmpd="sng" algn="ctr">
                <a:solidFill>
                  <a:srgbClr val="7DC6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C5D-4BE1-BA91-B43C59E383AF}"/>
              </c:ext>
            </c:extLst>
          </c:dPt>
          <c:dLbls>
            <c:numFmt formatCode="_(&quot;$&quot;* #,##0_);_(&quot;$&quot;* \(#,##0\);_(&quot;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'Totals Non-Residential'!$R$70</c:f>
              <c:strCache>
                <c:ptCount val="1"/>
                <c:pt idx="0">
                  <c:v>Energy Cost</c:v>
                </c:pt>
              </c:strCache>
            </c:strRef>
          </c:cat>
          <c:val>
            <c:numRef>
              <c:f>'Totals Non-Residential'!$U$78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5D-4BE1-BA91-B43C59E38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100"/>
        <c:axId val="1531742159"/>
        <c:axId val="1531754639"/>
      </c:barChart>
      <c:catAx>
        <c:axId val="1531742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1754639"/>
        <c:crosses val="autoZero"/>
        <c:auto val="1"/>
        <c:lblAlgn val="ctr"/>
        <c:lblOffset val="100"/>
        <c:noMultiLvlLbl val="0"/>
      </c:catAx>
      <c:valAx>
        <c:axId val="1531754639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53174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326412496488719"/>
          <c:y val="4.6210183001636563E-3"/>
          <c:w val="0.46263001017386624"/>
          <c:h val="0.384618421713818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3271770864146"/>
          <c:y val="9.3113327462613998E-2"/>
          <c:w val="0.83245947610425186"/>
          <c:h val="0.758537789440763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'Totals Non-Residential'!$E$89</c:f>
              <c:strCache>
                <c:ptCount val="1"/>
                <c:pt idx="0">
                  <c:v>Min. BCA 2022 Compliance</c:v>
                </c:pt>
              </c:strCache>
            </c:strRef>
          </c:tx>
          <c:spPr>
            <a:solidFill>
              <a:schemeClr val="accent1"/>
            </a:solidFill>
            <a:ln w="41275">
              <a:solidFill>
                <a:srgbClr val="00893E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893E"/>
              </a:solidFill>
              <a:ln w="41275">
                <a:solidFill>
                  <a:srgbClr val="00893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6DEE-4010-B942-38F9C9D64FD1}"/>
              </c:ext>
            </c:extLst>
          </c:dPt>
          <c:cat>
            <c:strRef>
              <c:f>'Totals Non-Residential'!$C$90:$C$96</c:f>
              <c:strCache>
                <c:ptCount val="7"/>
                <c:pt idx="0">
                  <c:v>Heating &amp; Cooling
(Elec)</c:v>
                </c:pt>
                <c:pt idx="1">
                  <c:v>Heating &amp; Cooling 
(Gas)</c:v>
                </c:pt>
                <c:pt idx="2">
                  <c:v>Fans</c:v>
                </c:pt>
                <c:pt idx="3">
                  <c:v>Lighting</c:v>
                </c:pt>
                <c:pt idx="4">
                  <c:v>Hot Water</c:v>
                </c:pt>
                <c:pt idx="5">
                  <c:v>Cooktops</c:v>
                </c:pt>
                <c:pt idx="6">
                  <c:v>Carpark, Services &amp; Lift</c:v>
                </c:pt>
              </c:strCache>
            </c:strRef>
          </c:cat>
          <c:val>
            <c:numRef>
              <c:f>'Totals Non-Residential'!$E$90:$E$96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9E-42DB-BB9F-75C38C4AA118}"/>
            </c:ext>
          </c:extLst>
        </c:ser>
        <c:ser>
          <c:idx val="1"/>
          <c:order val="1"/>
          <c:tx>
            <c:strRef>
              <c:f>'Totals Non-Residential'!$F$89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7DC6A0"/>
            </a:solidFill>
            <a:ln w="44450">
              <a:solidFill>
                <a:srgbClr val="7DC6A0"/>
              </a:solidFill>
            </a:ln>
            <a:effectLst/>
          </c:spPr>
          <c:invertIfNegative val="0"/>
          <c:cat>
            <c:strRef>
              <c:f>'Totals Non-Residential'!$C$90:$C$96</c:f>
              <c:strCache>
                <c:ptCount val="7"/>
                <c:pt idx="0">
                  <c:v>Heating &amp; Cooling
(Elec)</c:v>
                </c:pt>
                <c:pt idx="1">
                  <c:v>Heating &amp; Cooling 
(Gas)</c:v>
                </c:pt>
                <c:pt idx="2">
                  <c:v>Fans</c:v>
                </c:pt>
                <c:pt idx="3">
                  <c:v>Lighting</c:v>
                </c:pt>
                <c:pt idx="4">
                  <c:v>Hot Water</c:v>
                </c:pt>
                <c:pt idx="5">
                  <c:v>Cooktops</c:v>
                </c:pt>
                <c:pt idx="6">
                  <c:v>Carpark, Services &amp; Lift</c:v>
                </c:pt>
              </c:strCache>
            </c:strRef>
          </c:cat>
          <c:val>
            <c:numRef>
              <c:f>'Totals Non-Residential'!$F$90:$F$96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9E-42DB-BB9F-75C38C4AA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-20"/>
        <c:axId val="1117054736"/>
        <c:axId val="1117052816"/>
      </c:barChart>
      <c:catAx>
        <c:axId val="111705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PT Bold Dusky" panose="02010400000000000000" pitchFamily="2" charset="-78"/>
              </a:defRPr>
            </a:pPr>
            <a:endParaRPr lang="en-US"/>
          </a:p>
        </c:txPr>
        <c:crossAx val="1117052816"/>
        <c:crosses val="autoZero"/>
        <c:auto val="0"/>
        <c:lblAlgn val="ctr"/>
        <c:lblOffset val="100"/>
        <c:noMultiLvlLbl val="0"/>
      </c:catAx>
      <c:valAx>
        <c:axId val="1117052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r>
                  <a:rPr lang="en-CA"/>
                  <a:t>kWh/yr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11705473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28421514436722678"/>
          <c:y val="6.0599023735412892E-2"/>
          <c:w val="0.4320006519781896"/>
          <c:h val="8.4293082963403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softEdge rad="0"/>
    </a:effectLst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746242465601456E-2"/>
          <c:y val="0.12161944869831549"/>
          <c:w val="0.88905865916205351"/>
          <c:h val="0.5931133957868521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'Totals Non-Residential'!$H$71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rgbClr val="7DC6A0"/>
            </a:solidFill>
            <a:ln w="44450">
              <a:solidFill>
                <a:srgbClr val="7DC6A0"/>
              </a:solidFill>
            </a:ln>
            <a:effectLst/>
          </c:spPr>
          <c:invertIfNegative val="0"/>
          <c:cat>
            <c:strRef>
              <c:f>'Totals Non-Residential'!$J$70:$K$70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Non-Residential'!$J$71:$K$71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A-4DC7-A1B2-94352525E9FB}"/>
            </c:ext>
          </c:extLst>
        </c:ser>
        <c:ser>
          <c:idx val="1"/>
          <c:order val="1"/>
          <c:tx>
            <c:strRef>
              <c:f>'Totals Non-Residential'!$H$72</c:f>
              <c:strCache>
                <c:ptCount val="1"/>
                <c:pt idx="0">
                  <c:v>Office</c:v>
                </c:pt>
              </c:strCache>
            </c:strRef>
          </c:tx>
          <c:spPr>
            <a:solidFill>
              <a:srgbClr val="00C859"/>
            </a:solidFill>
            <a:ln w="44450">
              <a:solidFill>
                <a:srgbClr val="00C859"/>
              </a:solidFill>
            </a:ln>
            <a:effectLst/>
          </c:spPr>
          <c:invertIfNegative val="0"/>
          <c:cat>
            <c:strRef>
              <c:f>'Totals Non-Residential'!$J$70:$K$70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Non-Residential'!$J$72:$K$72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A-4DC7-A1B2-94352525E9FB}"/>
            </c:ext>
          </c:extLst>
        </c:ser>
        <c:ser>
          <c:idx val="2"/>
          <c:order val="2"/>
          <c:tx>
            <c:strRef>
              <c:f>'Totals Non-Residential'!$H$73</c:f>
              <c:strCache>
                <c:ptCount val="1"/>
                <c:pt idx="0">
                  <c:v>Student Accomodation</c:v>
                </c:pt>
              </c:strCache>
            </c:strRef>
          </c:tx>
          <c:spPr>
            <a:solidFill>
              <a:srgbClr val="009342"/>
            </a:solidFill>
            <a:ln w="44450">
              <a:solidFill>
                <a:srgbClr val="009342"/>
              </a:solidFill>
            </a:ln>
            <a:effectLst/>
          </c:spPr>
          <c:invertIfNegative val="0"/>
          <c:cat>
            <c:strRef>
              <c:f>'Totals Non-Residential'!$J$70:$K$70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Non-Residential'!$J$73:$K$73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5A-4DC7-A1B2-94352525E9FB}"/>
            </c:ext>
          </c:extLst>
        </c:ser>
        <c:ser>
          <c:idx val="3"/>
          <c:order val="3"/>
          <c:tx>
            <c:strRef>
              <c:f>'Totals Non-Residential'!$H$74</c:f>
              <c:strCache>
                <c:ptCount val="1"/>
                <c:pt idx="0">
                  <c:v>Educational</c:v>
                </c:pt>
              </c:strCache>
            </c:strRef>
          </c:tx>
          <c:spPr>
            <a:solidFill>
              <a:srgbClr val="00602B"/>
            </a:solidFill>
            <a:ln w="44450">
              <a:solidFill>
                <a:srgbClr val="00602B"/>
              </a:solidFill>
            </a:ln>
            <a:effectLst/>
          </c:spPr>
          <c:invertIfNegative val="0"/>
          <c:cat>
            <c:strRef>
              <c:f>'Totals Non-Residential'!$J$70:$K$70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Non-Residential'!$J$74:$K$74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A5A-4DC7-A1B2-94352525E9FB}"/>
            </c:ext>
          </c:extLst>
        </c:ser>
        <c:ser>
          <c:idx val="4"/>
          <c:order val="4"/>
          <c:tx>
            <c:strRef>
              <c:f>'Totals Non-Residential'!$H$75</c:f>
              <c:strCache>
                <c:ptCount val="1"/>
                <c:pt idx="0">
                  <c:v>Aged Care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44450"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'Totals Non-Residential'!$J$70:$K$70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Non-Residential'!$J$75:$K$75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A5A-4DC7-A1B2-94352525E9FB}"/>
            </c:ext>
          </c:extLst>
        </c:ser>
        <c:ser>
          <c:idx val="5"/>
          <c:order val="5"/>
          <c:tx>
            <c:strRef>
              <c:f>'Totals Non-Residential'!$H$76</c:f>
              <c:strCache>
                <c:ptCount val="1"/>
                <c:pt idx="0">
                  <c:v>Carpark, Services &amp; Lift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 w="44450"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cat>
            <c:strRef>
              <c:f>'Totals Non-Residential'!$J$70:$K$70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Non-Residential'!$J$76:$K$76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A5A-4DC7-A1B2-94352525E9FB}"/>
            </c:ext>
          </c:extLst>
        </c:ser>
        <c:ser>
          <c:idx val="6"/>
          <c:order val="6"/>
          <c:tx>
            <c:strRef>
              <c:f>'Totals Non-Residential'!$H$77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30FF8D"/>
            </a:solidFill>
            <a:ln w="44450">
              <a:solidFill>
                <a:srgbClr val="30FF8D"/>
              </a:solidFill>
            </a:ln>
            <a:effectLst/>
          </c:spPr>
          <c:invertIfNegative val="0"/>
          <c:cat>
            <c:strRef>
              <c:f>'Totals Non-Residential'!$J$70:$K$70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Non-Residential'!$J$77:$K$77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A5A-4DC7-A1B2-94352525E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65112079"/>
        <c:axId val="565109679"/>
      </c:barChart>
      <c:catAx>
        <c:axId val="565112079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565109679"/>
        <c:crosses val="autoZero"/>
        <c:auto val="0"/>
        <c:lblAlgn val="ctr"/>
        <c:lblOffset val="100"/>
        <c:noMultiLvlLbl val="0"/>
      </c:catAx>
      <c:valAx>
        <c:axId val="565109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r>
                  <a:rPr lang="en-CA"/>
                  <a:t>tCO2eq/yr</a:t>
                </a:r>
              </a:p>
              <a:p>
                <a:pPr>
                  <a:defRPr/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28282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565112079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1.3397521809687181E-3"/>
          <c:y val="1.4592512680875349E-2"/>
          <c:w val="0.99866024781903129"/>
          <c:h val="0.135707061007617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900" b="0" i="0" u="none" strike="noStrike" kern="1200" baseline="0">
              <a:solidFill>
                <a:srgbClr val="828282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'Totals Non-Residential'!#REF!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'Totals Non-Residential'!$E$70:$F$70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Non-Residential'!#REF!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F-4D41-9A8E-5358F6CE172D}"/>
            </c:ext>
          </c:extLst>
        </c:ser>
        <c:ser>
          <c:idx val="1"/>
          <c:order val="1"/>
          <c:tx>
            <c:strRef>
              <c:f>'Totals Non-Residential'!#REF!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'Totals Non-Residential'!$E$70:$F$70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Non-Residential'!#REF!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9F-4D41-9A8E-5358F6CE172D}"/>
            </c:ext>
          </c:extLst>
        </c:ser>
        <c:ser>
          <c:idx val="2"/>
          <c:order val="2"/>
          <c:tx>
            <c:strRef>
              <c:f>'Totals Non-Residential'!$C$71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rgbClr val="0093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'Totals Non-Residential'!$E$70:$F$70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Non-Residential'!$E$71:$F$71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9F-4D41-9A8E-5358F6CE172D}"/>
            </c:ext>
          </c:extLst>
        </c:ser>
        <c:ser>
          <c:idx val="3"/>
          <c:order val="3"/>
          <c:tx>
            <c:strRef>
              <c:f>'Totals Non-Residential'!$C$72</c:f>
              <c:strCache>
                <c:ptCount val="1"/>
                <c:pt idx="0">
                  <c:v>Office</c:v>
                </c:pt>
              </c:strCache>
            </c:strRef>
          </c:tx>
          <c:spPr>
            <a:solidFill>
              <a:srgbClr val="007A37"/>
            </a:solidFill>
            <a:ln>
              <a:noFill/>
            </a:ln>
            <a:effectLst/>
          </c:spPr>
          <c:invertIfNegative val="0"/>
          <c:cat>
            <c:strRef>
              <c:f>'Totals Non-Residential'!$E$70:$F$70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Non-Residential'!$E$72:$F$72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9F-4D41-9A8E-5358F6CE172D}"/>
            </c:ext>
          </c:extLst>
        </c:ser>
        <c:ser>
          <c:idx val="4"/>
          <c:order val="4"/>
          <c:tx>
            <c:strRef>
              <c:f>'Totals Non-Residential'!$C$76</c:f>
              <c:strCache>
                <c:ptCount val="1"/>
                <c:pt idx="0">
                  <c:v>Carpark, Services &amp; Lift</c:v>
                </c:pt>
              </c:strCache>
            </c:strRef>
          </c:tx>
          <c:spPr>
            <a:solidFill>
              <a:srgbClr val="0961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'Totals Non-Residential'!$E$70:$F$70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Non-Residential'!$E$76:$F$76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9F-4D41-9A8E-5358F6CE172D}"/>
            </c:ext>
          </c:extLst>
        </c:ser>
        <c:ser>
          <c:idx val="5"/>
          <c:order val="5"/>
          <c:tx>
            <c:strRef>
              <c:f>'Totals Non-Residential'!$C$77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30FF8D"/>
            </a:solidFill>
            <a:ln>
              <a:noFill/>
            </a:ln>
            <a:effectLst/>
          </c:spPr>
          <c:invertIfNegative val="0"/>
          <c:cat>
            <c:strRef>
              <c:f>'Totals Non-Residential'!$E$70:$F$70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Non-Residential'!$E$77:$F$77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9F-4D41-9A8E-5358F6CE1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115968352"/>
        <c:axId val="1115969312"/>
      </c:barChart>
      <c:catAx>
        <c:axId val="111596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115969312"/>
        <c:crosses val="autoZero"/>
        <c:auto val="1"/>
        <c:lblAlgn val="ctr"/>
        <c:lblOffset val="100"/>
        <c:noMultiLvlLbl val="0"/>
      </c:catAx>
      <c:valAx>
        <c:axId val="111596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r>
                  <a:rPr lang="en-CA"/>
                  <a:t>kWh/yr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11596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'Totals Non-Residential'!#REF!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'Totals Non-Residential'!#REF!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'Totals Non-Residential'!#REF!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3BE-4FA4-8F7E-93125581BDF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'Totals Non-Residential'!#REF!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'Totals Non-Residential'!#REF!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'Totals Non-Residential'!#REF!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23BE-4FA4-8F7E-93125581BDF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'Totals Non-Residential'!#REF!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'Totals Non-Residential'!#REF!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'Totals Non-Residential'!#REF!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23BE-4FA4-8F7E-93125581BDF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'Totals Non-Residential'!#REF!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'Totals Non-Residential'!#REF!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'Totals Non-Residential'!#REF!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23BE-4FA4-8F7E-93125581BDF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'Totals Non-Residential'!#REF!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'Totals Non-Residential'!#REF!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'Totals Non-Residential'!#REF!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23BE-4FA4-8F7E-93125581BDF8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'Totals Non-Residential'!#REF!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'Totals Non-Residential'!#REF!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'Totals Non-Residential'!#REF!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23BE-4FA4-8F7E-93125581B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28937520"/>
        <c:axId val="128938000"/>
      </c:barChart>
      <c:catAx>
        <c:axId val="12893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28938000"/>
        <c:crosses val="autoZero"/>
        <c:auto val="1"/>
        <c:lblAlgn val="ctr"/>
        <c:lblOffset val="100"/>
        <c:noMultiLvlLbl val="0"/>
      </c:catAx>
      <c:valAx>
        <c:axId val="12893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r>
                  <a:rPr lang="en-CA"/>
                  <a:t>$/yr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2893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r>
              <a:rPr lang="en-CA"/>
              <a:t>Retail Energy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'Totals Non-Residential'!$E$8</c:f>
              <c:strCache>
                <c:ptCount val="1"/>
                <c:pt idx="0">
                  <c:v>Min. BCA 2022 Compliance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'Totals Non-Residential'!$C$9:$C$15</c15:sqref>
                  </c15:fullRef>
                </c:ext>
              </c:extLst>
              <c:f>'Totals Non-Residential'!$C$9:$C$14</c:f>
              <c:strCache>
                <c:ptCount val="6"/>
                <c:pt idx="0">
                  <c:v>Heating &amp; Cooling
(Elec)</c:v>
                </c:pt>
                <c:pt idx="1">
                  <c:v>Heating &amp; Cooling 
(Gas)</c:v>
                </c:pt>
                <c:pt idx="2">
                  <c:v>Fans</c:v>
                </c:pt>
                <c:pt idx="3">
                  <c:v>Lighting</c:v>
                </c:pt>
                <c:pt idx="4">
                  <c:v>Hot Water</c:v>
                </c:pt>
                <c:pt idx="5">
                  <c:v>Cooktops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'Totals Non-Residential'!$E$9:$E$15</c15:sqref>
                  </c15:fullRef>
                </c:ext>
              </c:extLst>
              <c:f>'Totals Non-Residential'!$E$9:$E$14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B-410E-AA1E-7C2AE43D28D0}"/>
            </c:ext>
          </c:extLst>
        </c:ser>
        <c:ser>
          <c:idx val="1"/>
          <c:order val="1"/>
          <c:tx>
            <c:strRef>
              <c:f>'Totals Non-Residential'!$F$8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'Totals Non-Residential'!$C$9:$C$15</c15:sqref>
                  </c15:fullRef>
                </c:ext>
              </c:extLst>
              <c:f>'Totals Non-Residential'!$C$9:$C$14</c:f>
              <c:strCache>
                <c:ptCount val="6"/>
                <c:pt idx="0">
                  <c:v>Heating &amp; Cooling
(Elec)</c:v>
                </c:pt>
                <c:pt idx="1">
                  <c:v>Heating &amp; Cooling 
(Gas)</c:v>
                </c:pt>
                <c:pt idx="2">
                  <c:v>Fans</c:v>
                </c:pt>
                <c:pt idx="3">
                  <c:v>Lighting</c:v>
                </c:pt>
                <c:pt idx="4">
                  <c:v>Hot Water</c:v>
                </c:pt>
                <c:pt idx="5">
                  <c:v>Cooktops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'Totals Non-Residential'!$F$9:$F$15</c15:sqref>
                  </c15:fullRef>
                </c:ext>
              </c:extLst>
              <c:f>'Totals Non-Residential'!$F$9:$F$14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5B-410E-AA1E-7C2AE43D2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89099024"/>
        <c:axId val="189100464"/>
      </c:barChart>
      <c:catAx>
        <c:axId val="18909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89100464"/>
        <c:crosses val="autoZero"/>
        <c:auto val="1"/>
        <c:lblAlgn val="ctr"/>
        <c:lblOffset val="100"/>
        <c:noMultiLvlLbl val="0"/>
      </c:catAx>
      <c:valAx>
        <c:axId val="1891004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89099024"/>
        <c:crosses val="autoZero"/>
        <c:crossBetween val="between"/>
        <c:majorUnit val="200000"/>
        <c:minorUnit val="4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'Totals Non-Residential'!#REF!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('Totals Non-Residential'!$J$70:$K$70,'Totals Non-Residential'!$P$70)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0</c:v>
                </c:pt>
              </c:strCache>
            </c:strRef>
          </c:cat>
          <c:val>
            <c:numRef>
              <c:f>('Totals Non-Residential'!#REF!,'Totals Non-Residential'!#REF!)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F-4D41-9A8E-5358F6CE172D}"/>
            </c:ext>
          </c:extLst>
        </c:ser>
        <c:ser>
          <c:idx val="1"/>
          <c:order val="1"/>
          <c:tx>
            <c:strRef>
              <c:f>'Totals Non-Residential'!#REF!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('Totals Non-Residential'!$J$70:$K$70,'Totals Non-Residential'!$P$70)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0</c:v>
                </c:pt>
              </c:strCache>
            </c:strRef>
          </c:cat>
          <c:val>
            <c:numRef>
              <c:f>('Totals Non-Residential'!#REF!,'Totals Non-Residential'!#REF!)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9F-4D41-9A8E-5358F6CE172D}"/>
            </c:ext>
          </c:extLst>
        </c:ser>
        <c:ser>
          <c:idx val="2"/>
          <c:order val="2"/>
          <c:tx>
            <c:strRef>
              <c:f>'Totals Non-Residential'!$H$71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rgbClr val="009342"/>
            </a:solidFill>
            <a:ln>
              <a:noFill/>
            </a:ln>
            <a:effectLst/>
          </c:spPr>
          <c:invertIfNegative val="0"/>
          <c:cat>
            <c:strRef>
              <c:f>('Totals Non-Residential'!$J$70:$K$70,'Totals Non-Residential'!$P$70)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0</c:v>
                </c:pt>
              </c:strCache>
            </c:strRef>
          </c:cat>
          <c:val>
            <c:numRef>
              <c:f>('Totals Non-Residential'!$J$71:$K$71,'Totals Non-Residential'!$P$71)</c:f>
              <c:numCache>
                <c:formatCode>_(* #,##0.00_);_(* \(#,##0.00\);_(*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9F-4D41-9A8E-5358F6CE172D}"/>
            </c:ext>
          </c:extLst>
        </c:ser>
        <c:ser>
          <c:idx val="3"/>
          <c:order val="3"/>
          <c:tx>
            <c:strRef>
              <c:f>'Totals Non-Residential'!$H$72</c:f>
              <c:strCache>
                <c:ptCount val="1"/>
                <c:pt idx="0">
                  <c:v>Office</c:v>
                </c:pt>
              </c:strCache>
            </c:strRef>
          </c:tx>
          <c:spPr>
            <a:solidFill>
              <a:srgbClr val="007A37"/>
            </a:solidFill>
            <a:ln>
              <a:noFill/>
            </a:ln>
            <a:effectLst/>
          </c:spPr>
          <c:invertIfNegative val="0"/>
          <c:cat>
            <c:strRef>
              <c:f>('Totals Non-Residential'!$J$70:$K$70,'Totals Non-Residential'!$P$70)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0</c:v>
                </c:pt>
              </c:strCache>
            </c:strRef>
          </c:cat>
          <c:val>
            <c:numRef>
              <c:f>('Totals Non-Residential'!$J$72:$K$72,'Totals Non-Residential'!$P$72)</c:f>
              <c:numCache>
                <c:formatCode>_(* #,##0.00_);_(* \(#,##0.00\);_(*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9F-4D41-9A8E-5358F6CE172D}"/>
            </c:ext>
          </c:extLst>
        </c:ser>
        <c:ser>
          <c:idx val="4"/>
          <c:order val="4"/>
          <c:tx>
            <c:strRef>
              <c:f>'Totals Non-Residential'!$H$76</c:f>
              <c:strCache>
                <c:ptCount val="1"/>
                <c:pt idx="0">
                  <c:v>Carpark, Services &amp; Lift</c:v>
                </c:pt>
              </c:strCache>
            </c:strRef>
          </c:tx>
          <c:spPr>
            <a:solidFill>
              <a:srgbClr val="096128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EA-4D30-B1F9-37C98DA05655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EA-4D30-B1F9-37C98DA05655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EA-4D30-B1F9-37C98DA056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('Totals Non-Residential'!$J$70:$K$70,'Totals Non-Residential'!$P$70)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0</c:v>
                </c:pt>
              </c:strCache>
            </c:strRef>
          </c:cat>
          <c:val>
            <c:numRef>
              <c:f>('Totals Non-Residential'!$J$76:$K$76,'Totals Non-Residential'!$P$76)</c:f>
              <c:numCache>
                <c:formatCode>_(* #,##0.00_);_(* \(#,##0.00\);_(*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9F-4D41-9A8E-5358F6CE172D}"/>
            </c:ext>
          </c:extLst>
        </c:ser>
        <c:ser>
          <c:idx val="5"/>
          <c:order val="5"/>
          <c:tx>
            <c:strRef>
              <c:f>'Totals Non-Residential'!$H$77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30FF8D"/>
            </a:solidFill>
            <a:ln>
              <a:noFill/>
            </a:ln>
            <a:effectLst/>
          </c:spPr>
          <c:invertIfNegative val="0"/>
          <c:cat>
            <c:strRef>
              <c:f>('Totals Non-Residential'!$J$70:$K$70,'Totals Non-Residential'!$P$70)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0</c:v>
                </c:pt>
              </c:strCache>
            </c:strRef>
          </c:cat>
          <c:val>
            <c:numRef>
              <c:f>('Totals Non-Residential'!$J$77:$K$77,'Totals Non-Residential'!$P$77)</c:f>
              <c:numCache>
                <c:formatCode>_(* #,##0.00_);_(* \(#,##0.00\);_(*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9F-4D41-9A8E-5358F6CE1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115968352"/>
        <c:axId val="1115969312"/>
      </c:barChart>
      <c:catAx>
        <c:axId val="111596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115969312"/>
        <c:crosses val="autoZero"/>
        <c:auto val="1"/>
        <c:lblAlgn val="ctr"/>
        <c:lblOffset val="100"/>
        <c:noMultiLvlLbl val="0"/>
      </c:catAx>
      <c:valAx>
        <c:axId val="111596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r>
                  <a:rPr lang="en-AU"/>
                  <a:t>tCO2eq/yr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11596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r>
              <a:rPr lang="en-CA"/>
              <a:t>Office Energy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'Totals Non-Residential'!$E$18</c:f>
              <c:strCache>
                <c:ptCount val="1"/>
                <c:pt idx="0">
                  <c:v>Min. BCA 2022 Compliance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'Totals Non-Residential'!$C$19:$C$24</c:f>
              <c:strCache>
                <c:ptCount val="6"/>
                <c:pt idx="0">
                  <c:v>Heating &amp; Cooling (Elec)</c:v>
                </c:pt>
                <c:pt idx="1">
                  <c:v>Heating &amp; Cooling (Gas)</c:v>
                </c:pt>
                <c:pt idx="2">
                  <c:v>Fans</c:v>
                </c:pt>
                <c:pt idx="3">
                  <c:v>Appliances</c:v>
                </c:pt>
                <c:pt idx="4">
                  <c:v>Lighting</c:v>
                </c:pt>
                <c:pt idx="5">
                  <c:v>Hot Water</c:v>
                </c:pt>
              </c:strCache>
            </c:strRef>
          </c:cat>
          <c:val>
            <c:numRef>
              <c:f>'Totals Non-Residential'!$E$19:$E$24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B-4039-AB37-E7477B72EE60}"/>
            </c:ext>
          </c:extLst>
        </c:ser>
        <c:ser>
          <c:idx val="1"/>
          <c:order val="1"/>
          <c:tx>
            <c:strRef>
              <c:f>'Totals Non-Residential'!$F$18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'Totals Non-Residential'!$C$19:$C$24</c:f>
              <c:strCache>
                <c:ptCount val="6"/>
                <c:pt idx="0">
                  <c:v>Heating &amp; Cooling (Elec)</c:v>
                </c:pt>
                <c:pt idx="1">
                  <c:v>Heating &amp; Cooling (Gas)</c:v>
                </c:pt>
                <c:pt idx="2">
                  <c:v>Fans</c:v>
                </c:pt>
                <c:pt idx="3">
                  <c:v>Appliances</c:v>
                </c:pt>
                <c:pt idx="4">
                  <c:v>Lighting</c:v>
                </c:pt>
                <c:pt idx="5">
                  <c:v>Hot Water</c:v>
                </c:pt>
              </c:strCache>
            </c:strRef>
          </c:cat>
          <c:val>
            <c:numRef>
              <c:f>'Totals Non-Residential'!$F$19:$F$24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1B-4039-AB37-E7477B72E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106288"/>
        <c:axId val="1890108208"/>
      </c:barChart>
      <c:catAx>
        <c:axId val="189010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890108208"/>
        <c:crosses val="autoZero"/>
        <c:auto val="1"/>
        <c:lblAlgn val="ctr"/>
        <c:lblOffset val="100"/>
        <c:noMultiLvlLbl val="0"/>
      </c:catAx>
      <c:valAx>
        <c:axId val="189010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89010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r>
              <a:rPr lang="en-CA"/>
              <a:t>Student Accomodation Energy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'Totals Non-Residential'!$E$28</c:f>
              <c:strCache>
                <c:ptCount val="1"/>
                <c:pt idx="0">
                  <c:v>Min. BCA 2022 Compliance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'Totals Non-Residential'!$C$29:$C$35</c:f>
              <c:strCache>
                <c:ptCount val="7"/>
                <c:pt idx="0">
                  <c:v>Heating &amp; Cooling (Elec)</c:v>
                </c:pt>
                <c:pt idx="1">
                  <c:v>Heating &amp; Cooling (Gas)</c:v>
                </c:pt>
                <c:pt idx="2">
                  <c:v>Fans</c:v>
                </c:pt>
                <c:pt idx="3">
                  <c:v>Appliances</c:v>
                </c:pt>
                <c:pt idx="4">
                  <c:v>Lighting</c:v>
                </c:pt>
                <c:pt idx="5">
                  <c:v>Hot Water</c:v>
                </c:pt>
                <c:pt idx="6">
                  <c:v>Cooktops</c:v>
                </c:pt>
              </c:strCache>
            </c:strRef>
          </c:cat>
          <c:val>
            <c:numRef>
              <c:f>'Totals Non-Residential'!$E$29:$E$35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5B-4B07-B227-89E216940628}"/>
            </c:ext>
          </c:extLst>
        </c:ser>
        <c:ser>
          <c:idx val="1"/>
          <c:order val="1"/>
          <c:tx>
            <c:strRef>
              <c:f>'Totals Non-Residential'!$F$28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'Totals Non-Residential'!$C$29:$C$35</c:f>
              <c:strCache>
                <c:ptCount val="7"/>
                <c:pt idx="0">
                  <c:v>Heating &amp; Cooling (Elec)</c:v>
                </c:pt>
                <c:pt idx="1">
                  <c:v>Heating &amp; Cooling (Gas)</c:v>
                </c:pt>
                <c:pt idx="2">
                  <c:v>Fans</c:v>
                </c:pt>
                <c:pt idx="3">
                  <c:v>Appliances</c:v>
                </c:pt>
                <c:pt idx="4">
                  <c:v>Lighting</c:v>
                </c:pt>
                <c:pt idx="5">
                  <c:v>Hot Water</c:v>
                </c:pt>
                <c:pt idx="6">
                  <c:v>Cooktops</c:v>
                </c:pt>
              </c:strCache>
            </c:strRef>
          </c:cat>
          <c:val>
            <c:numRef>
              <c:f>'Totals Non-Residential'!$F$29:$F$35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5B-4B07-B227-89E216940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106288"/>
        <c:axId val="1890108208"/>
      </c:barChart>
      <c:catAx>
        <c:axId val="189010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890108208"/>
        <c:crosses val="autoZero"/>
        <c:auto val="1"/>
        <c:lblAlgn val="ctr"/>
        <c:lblOffset val="100"/>
        <c:noMultiLvlLbl val="0"/>
      </c:catAx>
      <c:valAx>
        <c:axId val="189010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89010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r>
              <a:rPr lang="en-AU" sz="1400" b="0" i="0" u="none" strike="noStrike" baseline="0">
                <a:effectLst/>
              </a:rPr>
              <a:t>Educational </a:t>
            </a:r>
            <a:r>
              <a:rPr lang="en-CA"/>
              <a:t>Energy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'Totals Non-Residential'!$E$39</c:f>
              <c:strCache>
                <c:ptCount val="1"/>
                <c:pt idx="0">
                  <c:v>Min. BCA 2022 Compliance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'Totals Non-Residential'!$C$40:$C$45</c:f>
              <c:strCache>
                <c:ptCount val="6"/>
                <c:pt idx="0">
                  <c:v>Heating &amp; Cooling (Elec)</c:v>
                </c:pt>
                <c:pt idx="1">
                  <c:v>Heating &amp; Cooling (Gas)</c:v>
                </c:pt>
                <c:pt idx="2">
                  <c:v>Fans</c:v>
                </c:pt>
                <c:pt idx="3">
                  <c:v>Appliances</c:v>
                </c:pt>
                <c:pt idx="4">
                  <c:v>Lighting</c:v>
                </c:pt>
                <c:pt idx="5">
                  <c:v>Hot Water</c:v>
                </c:pt>
              </c:strCache>
            </c:strRef>
          </c:cat>
          <c:val>
            <c:numRef>
              <c:f>'Totals Non-Residential'!$E$40:$E$45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7F-42A8-A650-A908318BCFA1}"/>
            </c:ext>
          </c:extLst>
        </c:ser>
        <c:ser>
          <c:idx val="1"/>
          <c:order val="1"/>
          <c:tx>
            <c:strRef>
              <c:f>'Totals Non-Residential'!$F$39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'Totals Non-Residential'!$C$40:$C$45</c:f>
              <c:strCache>
                <c:ptCount val="6"/>
                <c:pt idx="0">
                  <c:v>Heating &amp; Cooling (Elec)</c:v>
                </c:pt>
                <c:pt idx="1">
                  <c:v>Heating &amp; Cooling (Gas)</c:v>
                </c:pt>
                <c:pt idx="2">
                  <c:v>Fans</c:v>
                </c:pt>
                <c:pt idx="3">
                  <c:v>Appliances</c:v>
                </c:pt>
                <c:pt idx="4">
                  <c:v>Lighting</c:v>
                </c:pt>
                <c:pt idx="5">
                  <c:v>Hot Water</c:v>
                </c:pt>
              </c:strCache>
            </c:strRef>
          </c:cat>
          <c:val>
            <c:numRef>
              <c:f>'Totals Non-Residential'!$F$40:$F$45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7F-42A8-A650-A908318BC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106288"/>
        <c:axId val="1890108208"/>
      </c:barChart>
      <c:catAx>
        <c:axId val="189010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890108208"/>
        <c:crosses val="autoZero"/>
        <c:auto val="1"/>
        <c:lblAlgn val="ctr"/>
        <c:lblOffset val="100"/>
        <c:noMultiLvlLbl val="0"/>
      </c:catAx>
      <c:valAx>
        <c:axId val="189010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89010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r>
              <a:rPr lang="en-AU" sz="1400" b="0" i="0" u="none" strike="noStrike" baseline="0">
                <a:effectLst/>
              </a:rPr>
              <a:t>Aged Care </a:t>
            </a:r>
            <a:r>
              <a:rPr lang="en-CA"/>
              <a:t>Energy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'Totals Non-Residential'!$E$39</c:f>
              <c:strCache>
                <c:ptCount val="1"/>
                <c:pt idx="0">
                  <c:v>Min. BCA 2022 Compliance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'Totals Non-Residential'!$C$40:$C$45</c:f>
              <c:strCache>
                <c:ptCount val="6"/>
                <c:pt idx="0">
                  <c:v>Heating &amp; Cooling (Elec)</c:v>
                </c:pt>
                <c:pt idx="1">
                  <c:v>Heating &amp; Cooling (Gas)</c:v>
                </c:pt>
                <c:pt idx="2">
                  <c:v>Fans</c:v>
                </c:pt>
                <c:pt idx="3">
                  <c:v>Appliances</c:v>
                </c:pt>
                <c:pt idx="4">
                  <c:v>Lighting</c:v>
                </c:pt>
                <c:pt idx="5">
                  <c:v>Hot Water</c:v>
                </c:pt>
              </c:strCache>
            </c:strRef>
          </c:cat>
          <c:val>
            <c:numRef>
              <c:f>'Totals Non-Residential'!$E$40:$E$45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6F-4DDC-81AF-77A75131796C}"/>
            </c:ext>
          </c:extLst>
        </c:ser>
        <c:ser>
          <c:idx val="1"/>
          <c:order val="1"/>
          <c:tx>
            <c:strRef>
              <c:f>'Totals Non-Residential'!$F$39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'Totals Non-Residential'!$C$40:$C$45</c:f>
              <c:strCache>
                <c:ptCount val="6"/>
                <c:pt idx="0">
                  <c:v>Heating &amp; Cooling (Elec)</c:v>
                </c:pt>
                <c:pt idx="1">
                  <c:v>Heating &amp; Cooling (Gas)</c:v>
                </c:pt>
                <c:pt idx="2">
                  <c:v>Fans</c:v>
                </c:pt>
                <c:pt idx="3">
                  <c:v>Appliances</c:v>
                </c:pt>
                <c:pt idx="4">
                  <c:v>Lighting</c:v>
                </c:pt>
                <c:pt idx="5">
                  <c:v>Hot Water</c:v>
                </c:pt>
              </c:strCache>
            </c:strRef>
          </c:cat>
          <c:val>
            <c:numRef>
              <c:f>'Totals Non-Residential'!$F$40:$F$45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6F-4DDC-81AF-77A751317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106288"/>
        <c:axId val="1890108208"/>
      </c:barChart>
      <c:catAx>
        <c:axId val="189010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890108208"/>
        <c:crosses val="autoZero"/>
        <c:auto val="1"/>
        <c:lblAlgn val="ctr"/>
        <c:lblOffset val="100"/>
        <c:noMultiLvlLbl val="0"/>
      </c:catAx>
      <c:valAx>
        <c:axId val="189010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89010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68A0AEED-C796-4DA9-B605-684DA5ECEBED}">
          <cx:dataPt idx="0">
            <cx:spPr>
              <a:solidFill>
                <a:srgbClr val="00602B"/>
              </a:solidFill>
            </cx:spPr>
          </cx:dataPt>
          <cx:dataPt idx="1">
            <cx:spPr>
              <a:solidFill>
                <a:srgbClr val="007A37"/>
              </a:solidFill>
            </cx:spPr>
          </cx:dataPt>
          <cx:dataPt idx="2">
            <cx:spPr>
              <a:solidFill>
                <a:srgbClr val="00C859"/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000" b="0" i="0" u="none" strike="noStrike" kern="1200" baseline="0">
                    <a:solidFill>
                      <a:srgbClr val="828282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 sz="1000" b="0" i="0" u="none" strike="noStrike" kern="1200" baseline="0">
                  <a:solidFill>
                    <a:srgbClr val="828282"/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endParaRPr>
              </a:p>
            </cx:txPr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en-US" sz="1000" b="0" i="0" u="none" strike="noStrike" kern="1200" baseline="0">
                <a:solidFill>
                  <a:srgbClr val="828282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 sz="1000" b="0" i="0" u="none" strike="noStrike" kern="1200" baseline="0">
              <a:solidFill>
                <a:srgbClr val="828282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endParaRPr>
          </a:p>
        </cx:txPr>
      </cx:axis>
      <cx:axis id="1">
        <cx:valScaling/>
        <cx:title>
          <cx:tx>
            <cx:txData>
              <cx:v>kL/yr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lang="en-US" sz="1000" b="0" i="0" u="none" strike="noStrike" kern="1200" baseline="0">
                  <a:solidFill>
                    <a:srgbClr val="828282"/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r>
                <a:rPr lang="en-US" sz="1000" b="0" i="0" u="none" strike="noStrike" kern="1200" baseline="0">
                  <a:solidFill>
                    <a:srgbClr val="828282"/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rPr>
                <a:t>kL/yr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000" b="0" i="0" u="none" strike="noStrike" kern="1200" baseline="0">
                <a:solidFill>
                  <a:srgbClr val="828282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 sz="1000" b="0" i="0" u="none" strike="noStrike" kern="1200" baseline="0">
              <a:solidFill>
                <a:srgbClr val="828282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6.xml"/><Relationship Id="rId7" Type="http://schemas.openxmlformats.org/officeDocument/2006/relationships/chart" Target="../charts/chart9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microsoft.com/office/2014/relationships/chartEx" Target="../charts/chartEx1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376925</xdr:colOff>
      <xdr:row>19</xdr:row>
      <xdr:rowOff>481853</xdr:rowOff>
    </xdr:from>
    <xdr:to>
      <xdr:col>22</xdr:col>
      <xdr:colOff>10101</xdr:colOff>
      <xdr:row>24</xdr:row>
      <xdr:rowOff>56030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F602F73-7A62-4A7C-9016-0011E2717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82827</xdr:colOff>
      <xdr:row>1</xdr:row>
      <xdr:rowOff>33131</xdr:rowOff>
    </xdr:from>
    <xdr:to>
      <xdr:col>20</xdr:col>
      <xdr:colOff>65019</xdr:colOff>
      <xdr:row>8</xdr:row>
      <xdr:rowOff>71523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14198-A8D6-41E9-A2D1-774E72F15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23</xdr:col>
      <xdr:colOff>322080</xdr:colOff>
      <xdr:row>0</xdr:row>
      <xdr:rowOff>338976</xdr:rowOff>
    </xdr:from>
    <xdr:to>
      <xdr:col>39</xdr:col>
      <xdr:colOff>235566</xdr:colOff>
      <xdr:row>24</xdr:row>
      <xdr:rowOff>281115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ED340EB-74B9-47F1-B99C-1CCE21956379}"/>
            </a:ext>
          </a:extLst>
        </xdr:cNvPr>
        <xdr:cNvSpPr/>
      </xdr:nvSpPr>
      <xdr:spPr>
        <a:xfrm>
          <a:off x="8294505" y="338976"/>
          <a:ext cx="6428586" cy="79526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 editAs="absolute">
    <xdr:from>
      <xdr:col>3</xdr:col>
      <xdr:colOff>1442</xdr:colOff>
      <xdr:row>9</xdr:row>
      <xdr:rowOff>180976</xdr:rowOff>
    </xdr:from>
    <xdr:to>
      <xdr:col>20</xdr:col>
      <xdr:colOff>188337</xdr:colOff>
      <xdr:row>14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3C59B3-6A38-49DA-9B2B-5DF36DD9C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427127</xdr:colOff>
      <xdr:row>40</xdr:row>
      <xdr:rowOff>64089</xdr:rowOff>
    </xdr:from>
    <xdr:to>
      <xdr:col>17</xdr:col>
      <xdr:colOff>122327</xdr:colOff>
      <xdr:row>55</xdr:row>
      <xdr:rowOff>90759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5475CD-666E-5C7B-9531-440ABC0DE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513124</xdr:colOff>
      <xdr:row>40</xdr:row>
      <xdr:rowOff>64089</xdr:rowOff>
    </xdr:from>
    <xdr:to>
      <xdr:col>9</xdr:col>
      <xdr:colOff>232817</xdr:colOff>
      <xdr:row>55</xdr:row>
      <xdr:rowOff>92664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68E7B3-14BE-FD30-2B82-0C7966A90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504825</xdr:colOff>
      <xdr:row>1</xdr:row>
      <xdr:rowOff>136207</xdr:rowOff>
    </xdr:from>
    <xdr:to>
      <xdr:col>11</xdr:col>
      <xdr:colOff>145732</xdr:colOff>
      <xdr:row>16</xdr:row>
      <xdr:rowOff>172402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FFDFD4-AF28-C1E3-FC92-A083F0D64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269965</xdr:colOff>
      <xdr:row>40</xdr:row>
      <xdr:rowOff>57422</xdr:rowOff>
    </xdr:from>
    <xdr:to>
      <xdr:col>24</xdr:col>
      <xdr:colOff>557893</xdr:colOff>
      <xdr:row>55</xdr:row>
      <xdr:rowOff>80282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57F4B5-A2D0-4644-9F43-185267558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285749</xdr:colOff>
      <xdr:row>2</xdr:row>
      <xdr:rowOff>9525</xdr:rowOff>
    </xdr:from>
    <xdr:to>
      <xdr:col>20</xdr:col>
      <xdr:colOff>466724</xdr:colOff>
      <xdr:row>17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FCA5D1-541D-45B1-B199-6517A9E88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440870</xdr:colOff>
      <xdr:row>29</xdr:row>
      <xdr:rowOff>149679</xdr:rowOff>
    </xdr:from>
    <xdr:to>
      <xdr:col>37</xdr:col>
      <xdr:colOff>540203</xdr:colOff>
      <xdr:row>44</xdr:row>
      <xdr:rowOff>189684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6280158-FF31-4838-8BC3-C5F15EE75F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05860" y="5397954"/>
              <a:ext cx="5591448" cy="27451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114299</xdr:colOff>
      <xdr:row>2</xdr:row>
      <xdr:rowOff>38100</xdr:rowOff>
    </xdr:from>
    <xdr:to>
      <xdr:col>30</xdr:col>
      <xdr:colOff>104774</xdr:colOff>
      <xdr:row>18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F468B0-BD11-436E-B5E5-BCDC8FA3B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503464</xdr:colOff>
      <xdr:row>18</xdr:row>
      <xdr:rowOff>102053</xdr:rowOff>
    </xdr:from>
    <xdr:to>
      <xdr:col>10</xdr:col>
      <xdr:colOff>493940</xdr:colOff>
      <xdr:row>34</xdr:row>
      <xdr:rowOff>73478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5A6BD8B-9126-46E1-AD39-21F81C368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285749</xdr:colOff>
      <xdr:row>18</xdr:row>
      <xdr:rowOff>122465</xdr:rowOff>
    </xdr:from>
    <xdr:to>
      <xdr:col>20</xdr:col>
      <xdr:colOff>276225</xdr:colOff>
      <xdr:row>34</xdr:row>
      <xdr:rowOff>93890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2795476-C2F0-454C-B803-2E1E76160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raj Patel" id="{303B5947-46B9-477C-A57F-A1F3E7AE1566}" userId="Niraj Patel" providerId="None"/>
  <person displayName="Aminath Samaha" id="{526D79DE-F728-4594-9F2D-4A52C9E8B2F4}" userId="690f480d03c2fdc4" providerId="Windows Live"/>
  <person displayName="Ines Buskermolen" id="{9CC845E5-7EE9-4CFC-A71A-EE039BF6EBE7}" userId="S::ines@giw.com.au::c85acdad-be85-455a-a588-3a6909065f6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6E48BB-C0DD-44B1-A304-2CF06BF63ECF}" name="Table8" displayName="Table8" ref="B4:C8" totalsRowShown="0">
  <autoFilter ref="B4:C8" xr:uid="{C66E48BB-C0DD-44B1-A304-2CF06BF63ECF}"/>
  <tableColumns count="2">
    <tableColumn id="1" xr3:uid="{85676684-753B-4D04-8782-909BFB86F2B6}" name="Type of HVAC system (resi)"/>
    <tableColumn id="2" xr3:uid="{4546622E-78EF-407D-8EE7-FCA4FCE61E7E}" name="Standard COP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1F333D-E907-4263-B11B-1AD66F75486D}" name="Table9" displayName="Table9" ref="B11:C14" totalsRowShown="0">
  <autoFilter ref="B11:C14" xr:uid="{EB1F333D-E907-4263-B11B-1AD66F75486D}"/>
  <tableColumns count="2">
    <tableColumn id="1" xr3:uid="{B09154E1-3681-4757-81E3-E5844062C72D}" name="Hot water system"/>
    <tableColumn id="2" xr3:uid="{FB7472AB-16BC-4FAC-B207-C6A7BD08A83C}" name="Standard COP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AD08729-6F98-48DA-87E3-9C09CF813F18}" name="Table10" displayName="Table10" ref="B16:E20" totalsRowShown="0">
  <autoFilter ref="B16:E20" xr:uid="{9AD08729-6F98-48DA-87E3-9C09CF813F18}"/>
  <tableColumns count="4">
    <tableColumn id="1" xr3:uid="{A4780B82-ED7B-4015-9333-01122AAA6C1A}" name="Cooktops"/>
    <tableColumn id="2" xr3:uid="{60C85234-2492-455A-8AEB-7B37FEA7EE7B}" name="Standard Energy use"/>
    <tableColumn id="4" xr3:uid="{7D9BB344-D3F9-432F-97DB-DE89D89E9C64}" name="Commercial Kitchen"/>
    <tableColumn id="3" xr3:uid="{D9227AE7-E3F1-46CE-8554-07219AB4818B}" name="Column1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95BB36F-1EC9-434A-B2EE-93B6F4432223}" name="Table11" displayName="Table11" ref="I4:M7" totalsRowShown="0">
  <autoFilter ref="I4:M7" xr:uid="{B95BB36F-1EC9-434A-B2EE-93B6F4432223}"/>
  <tableColumns count="5">
    <tableColumn id="1" xr3:uid="{3AAE7333-C52C-4511-AD19-481C50CB9C84}" name="FR Climate Zone"/>
    <tableColumn id="5" xr3:uid="{E3A7DF59-F187-41C4-A864-CCE713F1F346}" name="3"/>
    <tableColumn id="4" xr3:uid="{BA0A65F3-F6C4-47AC-B242-42A117B69CA9}" name="7"/>
    <tableColumn id="2" xr3:uid="{EF87A453-276E-4D65-AB00-4DB1EF6BF43B}" name="7.5"/>
    <tableColumn id="3" xr3:uid="{2EF8B2C9-A158-4A2A-B363-7675BDE2E4C5}" name="8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EF2678-E649-4524-80C9-C24CA68293E6}" name="Table12" displayName="Table12" ref="I9:O11" totalsRowShown="0">
  <autoFilter ref="I9:O11" xr:uid="{9EEF2678-E649-4524-80C9-C24CA68293E6}"/>
  <tableColumns count="7">
    <tableColumn id="1" xr3:uid="{8E7E1F91-750A-4405-B5CB-DBB6086D5B50}" name="Climate Zone"/>
    <tableColumn id="2" xr3:uid="{94073362-0511-4A31-8BBC-0A0B99DA45C7}" name="Retail" dataDxfId="5">
      <calculatedColumnFormula>Averages!H12</calculatedColumnFormula>
    </tableColumn>
    <tableColumn id="3" xr3:uid="{81BB3A6D-46E2-48D0-9DCC-F8EB763C0265}" name="Office"/>
    <tableColumn id="4" xr3:uid="{D8C38D33-734B-4116-8496-1EF48967E849}" name="Communal Areas"/>
    <tableColumn id="5" xr3:uid="{FFD8586C-3E9A-4D37-B598-FA2EADB24AA4}" name="Aged Care" dataDxfId="4">
      <calculatedColumnFormula>Averages!H40</calculatedColumnFormula>
    </tableColumn>
    <tableColumn id="6" xr3:uid="{4BEEFAA6-0925-4E1F-A0F0-B00F70DC444D}" name="Educational" dataDxfId="3">
      <calculatedColumnFormula>Averages!Q15</calculatedColumnFormula>
    </tableColumn>
    <tableColumn id="7" xr3:uid="{E728E452-5B93-4F64-B5DF-5A819B17C76D}" name="Student Accom" dataDxfId="2">
      <calculatedColumnFormula>Averages!Q23</calculatedColumnFormula>
    </tableColumn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696A8A-AE0E-4D97-924D-B4ED8253D588}" name="Table13" displayName="Table13" ref="B22:C24" totalsRowShown="0">
  <autoFilter ref="B22:C24" xr:uid="{BA696A8A-AE0E-4D97-924D-B4ED8253D588}"/>
  <tableColumns count="2">
    <tableColumn id="1" xr3:uid="{668F4794-1308-40EF-945D-0640B285B772}" name="Type of HVAC system retail" dataDxfId="1"/>
    <tableColumn id="2" xr3:uid="{A667B473-3617-4932-B2F2-8AE79BFDB412}" name="COP" dataDxfId="0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1E222-662A-40CD-A2CB-905DAA35017A}" name="Table1" displayName="Table1" ref="I14:I16" totalsRowShown="0">
  <autoFilter ref="I14:I16" xr:uid="{6B91E222-662A-40CD-A2CB-905DAA35017A}"/>
  <tableColumns count="1">
    <tableColumn id="1" xr3:uid="{733E6160-AC12-4FDE-B5AA-F397555FF0DD}" name="Carbon Neutral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IW Visualisation">
      <a:dk1>
        <a:srgbClr val="3F3F3F"/>
      </a:dk1>
      <a:lt1>
        <a:sysClr val="window" lastClr="FFFFFF"/>
      </a:lt1>
      <a:dk2>
        <a:srgbClr val="3F3F3F"/>
      </a:dk2>
      <a:lt2>
        <a:srgbClr val="FFFFFF"/>
      </a:lt2>
      <a:accent1>
        <a:srgbClr val="00893E"/>
      </a:accent1>
      <a:accent2>
        <a:srgbClr val="7DC6A0"/>
      </a:accent2>
      <a:accent3>
        <a:srgbClr val="30FF8D"/>
      </a:accent3>
      <a:accent4>
        <a:srgbClr val="00602B"/>
      </a:accent4>
      <a:accent5>
        <a:srgbClr val="215E99"/>
      </a:accent5>
      <a:accent6>
        <a:srgbClr val="E97132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GIW Visualisation">
    <a:dk1>
      <a:srgbClr val="3F3F3F"/>
    </a:dk1>
    <a:lt1>
      <a:sysClr val="window" lastClr="FFFFFF"/>
    </a:lt1>
    <a:dk2>
      <a:srgbClr val="3F3F3F"/>
    </a:dk2>
    <a:lt2>
      <a:srgbClr val="FFFFFF"/>
    </a:lt2>
    <a:accent1>
      <a:srgbClr val="00893E"/>
    </a:accent1>
    <a:accent2>
      <a:srgbClr val="7DC6A0"/>
    </a:accent2>
    <a:accent3>
      <a:srgbClr val="30FF8D"/>
    </a:accent3>
    <a:accent4>
      <a:srgbClr val="00602B"/>
    </a:accent4>
    <a:accent5>
      <a:srgbClr val="215E99"/>
    </a:accent5>
    <a:accent6>
      <a:srgbClr val="E97132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0" dT="2025-06-13T01:28:12.95" personId="{9CC845E5-7EE9-4CFC-A71A-EE039BF6EBE7}" id="{A4DE12C2-03FB-4E40-A569-6952ED4CAD5B}">
    <text>Based on handbook for estimating NABERS ratings A5.6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5-06-13T02:18:37.04" personId="{303B5947-46B9-477C-A57F-A1F3E7AE1566}" id="{5095CFE6-0292-492E-A13A-066954B0BA0F}">
    <text>Per Green Star Multi-Unit Residential v1 GHG Guide Methodology Section 3.5 pg 29
Y:\GIW\7_Resources\Green Star &amp; ABGR\Green Star Rating Tools\GS - Multi Res\Guides\GHG Emissions Guide_01072009.pdf</text>
    <extLst>
      <x:ext xmlns:xltc2="http://schemas.microsoft.com/office/spreadsheetml/2020/threadedcomments2" uri="{F7C98A9C-CBB3-438F-8F68-D28B6AF4A901}">
        <xltc2:checksum>2177200235</xltc2:checksum>
        <xltc2:hyperlink startIndex="82" length="24" url="Y:\GIW\7_Resources\Green"/>
      </x:ext>
    </extLst>
  </threadedComment>
  <threadedComment ref="C8" dT="2025-06-13T02:13:58.21" personId="{303B5947-46B9-477C-A57F-A1F3E7AE1566}" id="{677D05E5-4DC6-40AD-8002-9CDDAA20F892}">
    <text>Per GBCA Energy Use Calc Guide Appendix  Table 55 Carpark and Loading Dock operational profiles</text>
  </threadedComment>
  <threadedComment ref="C22" dT="2025-06-13T02:34:09.99" personId="{303B5947-46B9-477C-A57F-A1F3E7AE1566}" id="{B807BB12-8816-4B31-8F61-621122C5DCC5}">
    <text>Per Green Star Multi-Unit Residential v1 GHG Guide Methodology - Lifts Benchmark pg 71
Y:\GIW\7_Resources\Green Star &amp; ABGR\Green Star Rating Tools\GS - Multi Res\Guides\GHG Emissions Guide_01072009.pdf
Assumptions per Table 30:
Speed - 1.0m/s
Ave power - 10kW
Standby Power - 70W</text>
    <extLst>
      <x:ext xmlns:xltc2="http://schemas.microsoft.com/office/spreadsheetml/2020/threadedcomments2" uri="{F7C98A9C-CBB3-438F-8F68-D28B6AF4A901}">
        <xltc2:checksum>4124991916</xltc2:checksum>
        <xltc2:hyperlink startIndex="88" length="24" url="Y:\GIW\7_Resources\Green"/>
      </x:ext>
    </extLst>
  </threadedComment>
  <threadedComment ref="G22" dT="2025-06-13T02:34:09.99" personId="{303B5947-46B9-477C-A57F-A1F3E7AE1566}" id="{64BD0F80-C0BC-43DD-A208-8893748CF0CB}">
    <text>Per Green Star Multi-Unit Residential v1 GHG Guide Methodology - Lifts Benchmark pg 71
Y:\GIW\7_Resources\Green Star &amp; ABGR\Green Star Rating Tools\GS - Multi Res\Guides\GHG Emissions Guide_01072009.pdf
Assumptions per Table 30:
Speed - 1.0m/s
Ave power - 10kW
Standby Power - 70W</text>
    <extLst>
      <x:ext xmlns:xltc2="http://schemas.microsoft.com/office/spreadsheetml/2020/threadedcomments2" uri="{F7C98A9C-CBB3-438F-8F68-D28B6AF4A901}">
        <xltc2:checksum>4124991916</xltc2:checksum>
        <xltc2:hyperlink startIndex="88" length="24" url="Y:\GIW\7_Resources\Green"/>
      </x:ext>
    </extLs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67" dT="2026-03-09T23:10:31.17" personId="{526D79DE-F728-4594-9F2D-4A52C9E8B2F4}" id="{2A17CC58-6B29-43A0-9FBF-F492206ABB5A}">
    <text>@IB is this formula ok? We just need to have this value in negative only?</text>
  </threadedComment>
  <threadedComment ref="P70" dT="2025-11-16T20:04:32.48" personId="{526D79DE-F728-4594-9F2D-4A52C9E8B2F4}" id="{2BE5DA8E-1A18-404E-82C7-D436412CA4AD}">
    <text>Need something here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ED13-65BE-4C49-A726-8581B05B8934}">
  <sheetPr>
    <pageSetUpPr autoPageBreaks="0"/>
  </sheetPr>
  <dimension ref="B1:V33"/>
  <sheetViews>
    <sheetView zoomScale="70" zoomScaleNormal="70" workbookViewId="0">
      <selection activeCell="AH35" sqref="AH35"/>
    </sheetView>
  </sheetViews>
  <sheetFormatPr defaultColWidth="8.88671875" defaultRowHeight="14.4" x14ac:dyDescent="0.3"/>
  <cols>
    <col min="1" max="2" width="5.6640625" style="21" customWidth="1"/>
    <col min="3" max="3" width="2.44140625" style="21" customWidth="1"/>
    <col min="4" max="5" width="5.6640625" style="21" customWidth="1"/>
    <col min="6" max="6" width="4.5546875" style="21" customWidth="1"/>
    <col min="7" max="7" width="5.6640625" style="21" customWidth="1"/>
    <col min="8" max="8" width="4.33203125" style="21" customWidth="1"/>
    <col min="9" max="9" width="4.88671875" style="21" customWidth="1"/>
    <col min="10" max="10" width="5.6640625" style="21" customWidth="1"/>
    <col min="11" max="11" width="3.109375" style="21" customWidth="1"/>
    <col min="12" max="12" width="5.33203125" style="21" customWidth="1"/>
    <col min="13" max="13" width="5.5546875" style="21" customWidth="1"/>
    <col min="14" max="15" width="5.6640625" style="21" customWidth="1"/>
    <col min="16" max="16" width="5.109375" style="21" customWidth="1"/>
    <col min="17" max="17" width="5.88671875" style="21" customWidth="1"/>
    <col min="18" max="18" width="5.5546875" style="21" customWidth="1"/>
    <col min="19" max="19" width="6.44140625" style="21" customWidth="1"/>
    <col min="20" max="20" width="6.109375" style="21" customWidth="1"/>
    <col min="21" max="21" width="3.109375" style="21" customWidth="1"/>
    <col min="22" max="37" width="5.6640625" style="21" customWidth="1"/>
    <col min="38" max="16384" width="8.88671875" style="21"/>
  </cols>
  <sheetData>
    <row r="1" spans="2:22" ht="27" customHeight="1" x14ac:dyDescent="0.3">
      <c r="B1" s="102"/>
      <c r="V1" s="102"/>
    </row>
    <row r="2" spans="2:22" ht="30" customHeight="1" x14ac:dyDescent="0.3"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2:22" ht="30" customHeight="1" x14ac:dyDescent="0.3"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2:22" ht="30" customHeight="1" x14ac:dyDescent="0.3"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2:22" ht="30" customHeight="1" x14ac:dyDescent="0.3"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2:22" ht="30" customHeight="1" x14ac:dyDescent="0.3"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2:22" ht="30" customHeight="1" x14ac:dyDescent="0.3"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2:22" ht="15" customHeight="1" x14ac:dyDescent="0.3"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2:22" ht="30" customHeight="1" x14ac:dyDescent="0.3">
      <c r="C9" s="121">
        <f>'Totals Non-Residential'!F98</f>
        <v>0</v>
      </c>
      <c r="D9" s="121"/>
      <c r="E9" s="121"/>
      <c r="F9" s="121"/>
      <c r="G9" s="118" t="s">
        <v>52</v>
      </c>
      <c r="H9" s="119"/>
      <c r="I9" s="119"/>
      <c r="J9" s="117" t="s">
        <v>239</v>
      </c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24"/>
    </row>
    <row r="10" spans="2:22" ht="19.5" customHeight="1" x14ac:dyDescent="0.3"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2:22" ht="21.75" customHeight="1" x14ac:dyDescent="0.3">
      <c r="C11" s="24"/>
      <c r="D11" s="24"/>
      <c r="E11" s="96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2:22" ht="30" customHeight="1" x14ac:dyDescent="0.3"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2:22" ht="30" customHeight="1" x14ac:dyDescent="0.3"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2:22" ht="30" customHeight="1" x14ac:dyDescent="0.3"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2:22" ht="26.25" customHeight="1" x14ac:dyDescent="0.3">
      <c r="C15" s="24"/>
      <c r="D15" s="120" t="e">
        <f>'Totals Non-Residential'!K79</f>
        <v>#DIV/0!</v>
      </c>
      <c r="E15" s="120"/>
      <c r="F15" s="94" t="s">
        <v>198</v>
      </c>
      <c r="G15" s="99"/>
      <c r="H15" s="99"/>
      <c r="I15" s="99"/>
      <c r="J15" s="99"/>
      <c r="K15" s="99"/>
      <c r="L15" s="117" t="s">
        <v>203</v>
      </c>
      <c r="M15" s="117"/>
      <c r="N15" s="117"/>
      <c r="O15" s="117"/>
      <c r="P15" s="117"/>
      <c r="Q15" s="117"/>
      <c r="R15" s="117"/>
      <c r="S15" s="117"/>
      <c r="T15" s="117"/>
      <c r="U15" s="24"/>
    </row>
    <row r="16" spans="2:22" ht="6.75" customHeight="1" x14ac:dyDescent="0.3">
      <c r="C16" s="24"/>
      <c r="D16" s="24"/>
      <c r="E16" s="24"/>
      <c r="F16" s="24"/>
      <c r="G16" s="94"/>
      <c r="H16" s="95"/>
      <c r="I16" s="95"/>
      <c r="J16" s="97"/>
      <c r="K16" s="97"/>
      <c r="L16" s="24"/>
      <c r="M16" s="98"/>
      <c r="N16" s="24"/>
      <c r="O16" s="24"/>
      <c r="P16" s="24"/>
      <c r="Q16" s="24"/>
      <c r="R16" s="24"/>
      <c r="S16" s="24"/>
      <c r="T16" s="24"/>
      <c r="U16" s="24"/>
    </row>
    <row r="17" spans="2:22" ht="30" customHeight="1" x14ac:dyDescent="0.3"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2:22" ht="19.5" customHeight="1" x14ac:dyDescent="0.3"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2:22" ht="30" customHeight="1" x14ac:dyDescent="0.3"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2:22" ht="50.25" customHeight="1" x14ac:dyDescent="0.3"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2:22" ht="18" customHeight="1" x14ac:dyDescent="0.3"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2:22" ht="30" customHeight="1" x14ac:dyDescent="0.3"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100"/>
      <c r="U22" s="24"/>
    </row>
    <row r="23" spans="2:22" ht="6.75" customHeight="1" x14ac:dyDescent="0.3">
      <c r="C23" s="24"/>
      <c r="D23" s="76"/>
      <c r="E23" s="76"/>
      <c r="F23" s="76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24"/>
    </row>
    <row r="24" spans="2:22" ht="30" customHeight="1" x14ac:dyDescent="0.3">
      <c r="C24" s="24"/>
      <c r="D24" s="116">
        <f>'Totals Non-Residential'!T79</f>
        <v>0</v>
      </c>
      <c r="E24" s="116"/>
      <c r="F24" s="116"/>
      <c r="G24" s="116"/>
      <c r="H24" s="116"/>
      <c r="I24" s="117" t="s">
        <v>200</v>
      </c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01"/>
    </row>
    <row r="25" spans="2:22" ht="23.25" customHeight="1" x14ac:dyDescent="0.3">
      <c r="C25" s="24"/>
      <c r="D25" s="76"/>
      <c r="F25" s="76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93" t="s">
        <v>231</v>
      </c>
      <c r="U25" s="100"/>
    </row>
    <row r="26" spans="2:22" ht="30" customHeight="1" x14ac:dyDescent="0.3">
      <c r="B26" s="102"/>
      <c r="V26" s="102"/>
    </row>
    <row r="27" spans="2:22" ht="30" customHeight="1" thickBot="1" x14ac:dyDescent="0.35">
      <c r="C27" s="74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</row>
    <row r="33" spans="20:20" x14ac:dyDescent="0.3">
      <c r="T33" s="21" t="s">
        <v>243</v>
      </c>
    </row>
  </sheetData>
  <mergeCells count="7">
    <mergeCell ref="D24:H24"/>
    <mergeCell ref="I24:T24"/>
    <mergeCell ref="G9:I9"/>
    <mergeCell ref="J9:T9"/>
    <mergeCell ref="D15:E15"/>
    <mergeCell ref="L15:T15"/>
    <mergeCell ref="C9:F9"/>
  </mergeCells>
  <pageMargins left="0.70866141732283472" right="0.70866141732283472" top="0.74803149606299213" bottom="0.74803149606299213" header="0.31496062992125984" footer="0.31496062992125984"/>
  <pageSetup paperSize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D635-BD0B-4E92-BB77-38BEC90462EF}">
  <dimension ref="A1:V73"/>
  <sheetViews>
    <sheetView tabSelected="1" topLeftCell="A41" workbookViewId="0">
      <selection activeCell="D62" sqref="D62"/>
    </sheetView>
  </sheetViews>
  <sheetFormatPr defaultColWidth="8.88671875" defaultRowHeight="14.4" x14ac:dyDescent="0.3"/>
  <cols>
    <col min="1" max="1" width="8.44140625" style="24" customWidth="1"/>
    <col min="2" max="2" width="4.6640625" style="21" customWidth="1"/>
    <col min="3" max="3" width="35.6640625" style="21" customWidth="1"/>
    <col min="4" max="4" width="19.33203125" style="21" bestFit="1" customWidth="1"/>
    <col min="5" max="5" width="10.5546875" style="21" bestFit="1" customWidth="1"/>
    <col min="6" max="6" width="10.5546875" style="21" customWidth="1"/>
    <col min="7" max="7" width="5" style="21" customWidth="1"/>
    <col min="8" max="8" width="35.6640625" style="21" bestFit="1" customWidth="1"/>
    <col min="9" max="9" width="11.33203125" style="21" customWidth="1"/>
    <col min="10" max="10" width="16" style="21" bestFit="1" customWidth="1"/>
    <col min="11" max="11" width="10.6640625" style="21" bestFit="1" customWidth="1"/>
    <col min="12" max="12" width="35.6640625" style="21" bestFit="1" customWidth="1"/>
    <col min="13" max="13" width="12" style="21" customWidth="1"/>
    <col min="14" max="14" width="12.5546875" style="21" customWidth="1"/>
    <col min="15" max="15" width="10.6640625" style="21" bestFit="1" customWidth="1"/>
    <col min="16" max="16" width="35.6640625" style="21" bestFit="1" customWidth="1"/>
    <col min="17" max="17" width="12.88671875" style="24" customWidth="1"/>
    <col min="18" max="19" width="8.88671875" style="24"/>
    <col min="20" max="20" width="35.6640625" style="24" bestFit="1" customWidth="1"/>
    <col min="21" max="21" width="12.6640625" style="24" customWidth="1"/>
    <col min="22" max="22" width="11.109375" style="24" customWidth="1"/>
    <col min="23" max="16384" width="8.88671875" style="21"/>
  </cols>
  <sheetData>
    <row r="1" spans="2:16" s="24" customFormat="1" x14ac:dyDescent="0.3"/>
    <row r="2" spans="2:16" s="24" customFormat="1" ht="15" thickBot="1" x14ac:dyDescent="0.35"/>
    <row r="3" spans="2:16" ht="17.399999999999999" x14ac:dyDescent="0.35">
      <c r="B3" s="127" t="s">
        <v>0</v>
      </c>
      <c r="C3" s="128"/>
      <c r="D3" s="128"/>
      <c r="E3" s="129"/>
      <c r="F3" s="24"/>
      <c r="G3" s="124" t="s">
        <v>35</v>
      </c>
      <c r="H3" s="125"/>
      <c r="I3" s="125"/>
      <c r="J3" s="126"/>
      <c r="K3" s="24"/>
      <c r="L3" s="24"/>
      <c r="M3" s="24"/>
      <c r="N3" s="24"/>
      <c r="O3" s="24"/>
      <c r="P3" s="24"/>
    </row>
    <row r="4" spans="2:16" x14ac:dyDescent="0.3">
      <c r="B4" s="23"/>
      <c r="C4" s="24"/>
      <c r="D4" s="24"/>
      <c r="E4" s="25"/>
      <c r="F4" s="24"/>
      <c r="G4" s="23"/>
      <c r="H4" s="24"/>
      <c r="I4" s="24"/>
      <c r="J4" s="25"/>
      <c r="K4" s="24"/>
      <c r="L4" s="24"/>
      <c r="M4" s="24"/>
      <c r="N4" s="24"/>
      <c r="O4" s="24"/>
      <c r="P4" s="24"/>
    </row>
    <row r="5" spans="2:16" x14ac:dyDescent="0.3">
      <c r="B5" s="23"/>
      <c r="C5" s="31" t="s">
        <v>199</v>
      </c>
      <c r="D5" s="55"/>
      <c r="E5" s="25"/>
      <c r="F5" s="24"/>
      <c r="G5" s="23"/>
      <c r="H5" s="30" t="s">
        <v>37</v>
      </c>
      <c r="I5" s="54">
        <v>6</v>
      </c>
      <c r="J5" s="25"/>
      <c r="K5" s="24"/>
      <c r="L5" s="24"/>
      <c r="M5" s="24"/>
      <c r="N5" s="24"/>
      <c r="O5" s="24"/>
      <c r="P5" s="24"/>
    </row>
    <row r="6" spans="2:16" ht="15" thickBot="1" x14ac:dyDescent="0.35">
      <c r="B6" s="23"/>
      <c r="C6" s="30" t="s">
        <v>1</v>
      </c>
      <c r="D6" s="53"/>
      <c r="E6" s="25" t="s">
        <v>5</v>
      </c>
      <c r="F6" s="24"/>
      <c r="G6" s="26"/>
      <c r="H6" s="86"/>
      <c r="I6" s="86"/>
      <c r="J6" s="87"/>
      <c r="K6" s="24"/>
      <c r="L6" s="24"/>
      <c r="M6" s="24"/>
      <c r="N6" s="24"/>
      <c r="O6" s="24"/>
      <c r="P6" s="24"/>
    </row>
    <row r="7" spans="2:16" x14ac:dyDescent="0.3">
      <c r="B7" s="23"/>
      <c r="C7" s="30" t="s">
        <v>2</v>
      </c>
      <c r="D7" s="53"/>
      <c r="E7" s="25" t="s">
        <v>5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2:16" x14ac:dyDescent="0.3">
      <c r="B8" s="23"/>
      <c r="C8" s="30" t="s">
        <v>230</v>
      </c>
      <c r="D8" s="53"/>
      <c r="E8" s="25" t="s">
        <v>5</v>
      </c>
      <c r="F8" s="24" t="s">
        <v>233</v>
      </c>
      <c r="G8" s="53"/>
      <c r="H8" s="24"/>
      <c r="I8" s="24"/>
      <c r="J8" s="24"/>
      <c r="K8" s="24"/>
      <c r="L8" s="24"/>
      <c r="M8" s="24"/>
      <c r="N8" s="24"/>
      <c r="O8" s="24"/>
      <c r="P8" s="24"/>
    </row>
    <row r="9" spans="2:16" x14ac:dyDescent="0.3">
      <c r="B9" s="23"/>
      <c r="C9" s="30" t="s">
        <v>208</v>
      </c>
      <c r="D9" s="53"/>
      <c r="E9" s="25" t="s">
        <v>5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2:16" x14ac:dyDescent="0.3">
      <c r="B10" s="23"/>
      <c r="C10" s="30" t="s">
        <v>207</v>
      </c>
      <c r="D10" s="53"/>
      <c r="E10" s="25" t="s">
        <v>5</v>
      </c>
      <c r="F10" s="24" t="s">
        <v>233</v>
      </c>
      <c r="G10" s="53"/>
      <c r="H10" s="24"/>
      <c r="I10" s="24"/>
      <c r="J10" s="24"/>
      <c r="K10" s="24"/>
      <c r="L10" s="24"/>
      <c r="M10" s="24"/>
      <c r="N10" s="24"/>
      <c r="O10" s="24"/>
      <c r="P10" s="24"/>
    </row>
    <row r="11" spans="2:16" x14ac:dyDescent="0.3">
      <c r="B11" s="23"/>
      <c r="C11" s="30" t="s">
        <v>3</v>
      </c>
      <c r="D11" s="53"/>
      <c r="E11" s="25" t="s">
        <v>5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2:16" x14ac:dyDescent="0.3">
      <c r="B12" s="23"/>
      <c r="C12" s="30" t="s">
        <v>4</v>
      </c>
      <c r="D12" s="53"/>
      <c r="E12" s="25" t="s">
        <v>5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2:16" x14ac:dyDescent="0.3">
      <c r="B13" s="23"/>
      <c r="C13" s="30" t="s">
        <v>133</v>
      </c>
      <c r="D13" s="53"/>
      <c r="E13" s="25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2:16" x14ac:dyDescent="0.3">
      <c r="B14" s="23"/>
      <c r="C14" s="30" t="s">
        <v>134</v>
      </c>
      <c r="D14" s="53"/>
      <c r="E14" s="25" t="s">
        <v>135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2:16" x14ac:dyDescent="0.3">
      <c r="B15" s="23"/>
      <c r="C15" s="24"/>
      <c r="D15" s="24"/>
      <c r="E15" s="25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2:16" x14ac:dyDescent="0.3">
      <c r="B16" s="23"/>
      <c r="C16" s="30" t="s">
        <v>177</v>
      </c>
      <c r="D16" s="53"/>
      <c r="E16" s="25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2:22" ht="15" thickBot="1" x14ac:dyDescent="0.35">
      <c r="B17" s="26"/>
      <c r="C17" s="22"/>
      <c r="D17" s="22"/>
      <c r="E17" s="27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2:22" x14ac:dyDescent="0.3">
      <c r="B18" s="85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2:22" s="24" customFormat="1" ht="15" thickBot="1" x14ac:dyDescent="0.35"/>
    <row r="20" spans="2:22" ht="17.399999999999999" x14ac:dyDescent="0.35">
      <c r="B20" s="127" t="s">
        <v>14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9"/>
    </row>
    <row r="21" spans="2:22" x14ac:dyDescent="0.3">
      <c r="B21" s="23"/>
      <c r="C21" s="28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V21" s="25"/>
    </row>
    <row r="22" spans="2:22" x14ac:dyDescent="0.3">
      <c r="B22" s="90"/>
      <c r="C22" s="82" t="s">
        <v>1</v>
      </c>
      <c r="D22" s="82"/>
      <c r="E22" s="82"/>
      <c r="F22" s="24"/>
      <c r="H22" s="122" t="s">
        <v>2</v>
      </c>
      <c r="I22" s="122"/>
      <c r="J22" s="122"/>
      <c r="K22" s="24"/>
      <c r="L22" s="122" t="s">
        <v>230</v>
      </c>
      <c r="M22" s="122"/>
      <c r="N22" s="122"/>
      <c r="O22" s="24"/>
      <c r="P22" s="122" t="s">
        <v>208</v>
      </c>
      <c r="Q22" s="122"/>
      <c r="R22" s="122"/>
      <c r="T22" s="122" t="s">
        <v>207</v>
      </c>
      <c r="U22" s="122"/>
      <c r="V22" s="123"/>
    </row>
    <row r="23" spans="2:22" ht="28.8" x14ac:dyDescent="0.3">
      <c r="B23" s="90"/>
      <c r="C23" s="29" t="s">
        <v>11</v>
      </c>
      <c r="D23" s="55">
        <v>2</v>
      </c>
      <c r="E23" s="30" t="s">
        <v>12</v>
      </c>
      <c r="F23" s="24"/>
      <c r="G23" s="24"/>
      <c r="H23" s="29" t="s">
        <v>11</v>
      </c>
      <c r="I23" s="57"/>
      <c r="J23" s="30" t="s">
        <v>12</v>
      </c>
      <c r="K23" s="24"/>
      <c r="L23" s="29" t="s">
        <v>11</v>
      </c>
      <c r="M23" s="57">
        <v>0</v>
      </c>
      <c r="N23" s="30" t="s">
        <v>12</v>
      </c>
      <c r="O23" s="24"/>
      <c r="P23" s="29" t="s">
        <v>11</v>
      </c>
      <c r="Q23" s="57"/>
      <c r="R23" s="30" t="s">
        <v>12</v>
      </c>
      <c r="T23" s="29" t="s">
        <v>11</v>
      </c>
      <c r="U23" s="57"/>
      <c r="V23" s="88" t="s">
        <v>12</v>
      </c>
    </row>
    <row r="24" spans="2:22" x14ac:dyDescent="0.3">
      <c r="B24" s="90"/>
      <c r="C24" s="30" t="s">
        <v>6</v>
      </c>
      <c r="D24" s="54" t="s">
        <v>19</v>
      </c>
      <c r="E24" s="31"/>
      <c r="F24" s="24"/>
      <c r="G24" s="24"/>
      <c r="H24" s="30" t="s">
        <v>6</v>
      </c>
      <c r="I24" s="53" t="s">
        <v>19</v>
      </c>
      <c r="J24" s="31"/>
      <c r="K24" s="24"/>
      <c r="L24" s="30" t="s">
        <v>6</v>
      </c>
      <c r="M24" s="53" t="s">
        <v>19</v>
      </c>
      <c r="N24" s="31"/>
      <c r="O24" s="24"/>
      <c r="P24" s="30" t="s">
        <v>6</v>
      </c>
      <c r="Q24" s="53" t="s">
        <v>19</v>
      </c>
      <c r="R24" s="31"/>
      <c r="T24" s="30" t="s">
        <v>6</v>
      </c>
      <c r="U24" s="53" t="s">
        <v>19</v>
      </c>
      <c r="V24" s="89"/>
    </row>
    <row r="25" spans="2:22" x14ac:dyDescent="0.3">
      <c r="B25" s="90"/>
      <c r="C25" s="30" t="s">
        <v>7</v>
      </c>
      <c r="D25" s="80">
        <f>VLOOKUP(D24,Table13[#All],2,FALSE)</f>
        <v>3.4</v>
      </c>
      <c r="E25" s="30" t="s">
        <v>8</v>
      </c>
      <c r="F25" s="24"/>
      <c r="G25" s="24"/>
      <c r="H25" s="30" t="s">
        <v>7</v>
      </c>
      <c r="I25" s="80">
        <f>VLOOKUP(I24,Table13[#All],2,FALSE)</f>
        <v>3.4</v>
      </c>
      <c r="J25" s="30" t="s">
        <v>8</v>
      </c>
      <c r="K25" s="24"/>
      <c r="L25" s="30" t="s">
        <v>7</v>
      </c>
      <c r="M25" s="80">
        <f>VLOOKUP(M24,Table13[#All],2,FALSE)</f>
        <v>3.4</v>
      </c>
      <c r="N25" s="30" t="s">
        <v>8</v>
      </c>
      <c r="O25" s="24"/>
      <c r="P25" s="30" t="s">
        <v>7</v>
      </c>
      <c r="Q25" s="80">
        <f>VLOOKUP(Q24,Table13[#All],2,FALSE)</f>
        <v>3.4</v>
      </c>
      <c r="R25" s="30" t="s">
        <v>8</v>
      </c>
      <c r="T25" s="30" t="s">
        <v>7</v>
      </c>
      <c r="U25" s="80">
        <f>VLOOKUP(U24,Table13[#All],2,FALSE)</f>
        <v>3.4</v>
      </c>
      <c r="V25" s="88" t="s">
        <v>8</v>
      </c>
    </row>
    <row r="26" spans="2:22" x14ac:dyDescent="0.3">
      <c r="B26" s="90"/>
      <c r="C26" s="30" t="s">
        <v>13</v>
      </c>
      <c r="D26" s="54">
        <v>0</v>
      </c>
      <c r="E26" s="30" t="s">
        <v>12</v>
      </c>
      <c r="F26" s="24"/>
      <c r="G26" s="24"/>
      <c r="H26" s="30" t="s">
        <v>13</v>
      </c>
      <c r="I26" s="53">
        <v>0</v>
      </c>
      <c r="J26" s="30" t="s">
        <v>12</v>
      </c>
      <c r="K26" s="24"/>
      <c r="L26" s="30" t="s">
        <v>13</v>
      </c>
      <c r="M26" s="53">
        <v>0</v>
      </c>
      <c r="N26" s="30" t="s">
        <v>12</v>
      </c>
      <c r="O26" s="24"/>
      <c r="P26" s="30" t="s">
        <v>13</v>
      </c>
      <c r="Q26" s="53">
        <v>0</v>
      </c>
      <c r="R26" s="30" t="s">
        <v>12</v>
      </c>
      <c r="T26" s="30" t="s">
        <v>13</v>
      </c>
      <c r="U26" s="53">
        <v>0</v>
      </c>
      <c r="V26" s="88" t="s">
        <v>12</v>
      </c>
    </row>
    <row r="27" spans="2:22" x14ac:dyDescent="0.3">
      <c r="B27" s="90"/>
      <c r="C27" s="30" t="s">
        <v>28</v>
      </c>
      <c r="D27" s="54" t="s">
        <v>193</v>
      </c>
      <c r="E27" s="30"/>
      <c r="F27" s="24"/>
      <c r="G27" s="24"/>
      <c r="H27" s="24"/>
      <c r="I27" s="24"/>
      <c r="J27" s="24"/>
      <c r="K27" s="24"/>
      <c r="L27" s="30" t="s">
        <v>28</v>
      </c>
      <c r="M27" s="54" t="s">
        <v>193</v>
      </c>
      <c r="N27" s="30"/>
      <c r="O27" s="24"/>
      <c r="P27" s="30" t="s">
        <v>28</v>
      </c>
      <c r="Q27" s="54" t="s">
        <v>193</v>
      </c>
      <c r="R27" s="30"/>
      <c r="T27" s="30" t="s">
        <v>28</v>
      </c>
      <c r="U27" s="54" t="s">
        <v>193</v>
      </c>
      <c r="V27" s="88"/>
    </row>
    <row r="28" spans="2:22" x14ac:dyDescent="0.3">
      <c r="B28" s="90"/>
      <c r="C28" s="24"/>
      <c r="D28"/>
      <c r="E28" s="24"/>
      <c r="F28" s="24"/>
      <c r="G28" s="24"/>
      <c r="H28" s="24" t="s">
        <v>143</v>
      </c>
      <c r="I28" s="24"/>
      <c r="J28" s="24"/>
      <c r="K28" s="24"/>
      <c r="L28" s="24"/>
      <c r="M28" s="24"/>
      <c r="N28" s="24"/>
      <c r="O28" s="24"/>
      <c r="P28" s="24"/>
      <c r="V28" s="25"/>
    </row>
    <row r="29" spans="2:22" x14ac:dyDescent="0.3">
      <c r="B29" s="90"/>
      <c r="C29" s="24" t="s">
        <v>143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V29" s="25"/>
    </row>
    <row r="30" spans="2:22" x14ac:dyDescent="0.3">
      <c r="B30" s="9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V30" s="25"/>
    </row>
    <row r="31" spans="2:22" x14ac:dyDescent="0.3">
      <c r="B31" s="90"/>
      <c r="C31" s="82" t="s">
        <v>144</v>
      </c>
      <c r="D31" s="82"/>
      <c r="E31" s="82"/>
      <c r="F31" s="24"/>
      <c r="G31" s="24"/>
      <c r="H31" s="122" t="s">
        <v>144</v>
      </c>
      <c r="I31" s="122"/>
      <c r="J31" s="122"/>
      <c r="K31" s="24"/>
      <c r="L31" s="122" t="s">
        <v>144</v>
      </c>
      <c r="M31" s="122"/>
      <c r="N31" s="122"/>
      <c r="O31" s="24"/>
      <c r="P31" s="122" t="s">
        <v>144</v>
      </c>
      <c r="Q31" s="122"/>
      <c r="R31" s="122"/>
      <c r="T31" s="122" t="s">
        <v>144</v>
      </c>
      <c r="U31" s="122"/>
      <c r="V31" s="123"/>
    </row>
    <row r="32" spans="2:22" x14ac:dyDescent="0.3">
      <c r="B32" s="90"/>
      <c r="C32" s="31" t="s">
        <v>159</v>
      </c>
      <c r="D32" s="53"/>
      <c r="E32" s="31" t="s">
        <v>103</v>
      </c>
      <c r="F32" s="24"/>
      <c r="G32" s="24"/>
      <c r="H32" s="31" t="s">
        <v>159</v>
      </c>
      <c r="I32" s="53"/>
      <c r="J32" s="31" t="s">
        <v>103</v>
      </c>
      <c r="K32" s="24"/>
      <c r="L32" s="31" t="s">
        <v>159</v>
      </c>
      <c r="M32" s="53"/>
      <c r="N32" s="31" t="s">
        <v>103</v>
      </c>
      <c r="O32" s="24"/>
      <c r="P32" s="31" t="s">
        <v>159</v>
      </c>
      <c r="Q32" s="53"/>
      <c r="R32" s="31" t="s">
        <v>103</v>
      </c>
      <c r="T32" s="31" t="s">
        <v>159</v>
      </c>
      <c r="U32" s="53"/>
      <c r="V32" s="89" t="s">
        <v>103</v>
      </c>
    </row>
    <row r="33" spans="2:22" x14ac:dyDescent="0.3">
      <c r="B33" s="90"/>
      <c r="C33" s="30" t="s">
        <v>160</v>
      </c>
      <c r="D33" s="53"/>
      <c r="E33" s="30" t="s">
        <v>103</v>
      </c>
      <c r="F33" s="24"/>
      <c r="G33" s="24"/>
      <c r="H33" s="30" t="s">
        <v>160</v>
      </c>
      <c r="I33" s="53"/>
      <c r="J33" s="30" t="s">
        <v>103</v>
      </c>
      <c r="K33" s="24"/>
      <c r="L33" s="30" t="s">
        <v>160</v>
      </c>
      <c r="M33" s="53"/>
      <c r="N33" s="30" t="s">
        <v>103</v>
      </c>
      <c r="O33" s="24"/>
      <c r="P33" s="30" t="s">
        <v>160</v>
      </c>
      <c r="Q33" s="53"/>
      <c r="R33" s="30" t="s">
        <v>103</v>
      </c>
      <c r="T33" s="30" t="s">
        <v>160</v>
      </c>
      <c r="U33" s="53"/>
      <c r="V33" s="88" t="s">
        <v>103</v>
      </c>
    </row>
    <row r="34" spans="2:22" x14ac:dyDescent="0.3">
      <c r="B34" s="90"/>
      <c r="C34" s="31" t="s">
        <v>163</v>
      </c>
      <c r="D34" s="53"/>
      <c r="E34" s="31" t="s">
        <v>34</v>
      </c>
      <c r="F34" s="24"/>
      <c r="G34" s="24"/>
      <c r="H34" s="31" t="s">
        <v>163</v>
      </c>
      <c r="I34" s="53"/>
      <c r="J34" s="31" t="s">
        <v>34</v>
      </c>
      <c r="K34" s="24"/>
      <c r="L34" s="31" t="s">
        <v>163</v>
      </c>
      <c r="M34" s="53">
        <v>1000</v>
      </c>
      <c r="N34" s="31" t="s">
        <v>34</v>
      </c>
      <c r="O34" s="24"/>
      <c r="P34" s="31" t="s">
        <v>163</v>
      </c>
      <c r="Q34" s="53"/>
      <c r="R34" s="31" t="s">
        <v>34</v>
      </c>
      <c r="T34" s="31" t="s">
        <v>163</v>
      </c>
      <c r="U34" s="53"/>
      <c r="V34" s="89" t="s">
        <v>34</v>
      </c>
    </row>
    <row r="35" spans="2:22" x14ac:dyDescent="0.3">
      <c r="B35" s="90"/>
      <c r="C35" s="30" t="s">
        <v>164</v>
      </c>
      <c r="D35" s="53"/>
      <c r="E35" s="30" t="s">
        <v>34</v>
      </c>
      <c r="F35" s="24"/>
      <c r="G35" s="24"/>
      <c r="H35" s="30" t="s">
        <v>164</v>
      </c>
      <c r="I35" s="53"/>
      <c r="J35" s="30" t="s">
        <v>34</v>
      </c>
      <c r="K35" s="24"/>
      <c r="L35" s="30" t="s">
        <v>164</v>
      </c>
      <c r="M35" s="53">
        <v>750</v>
      </c>
      <c r="N35" s="30" t="s">
        <v>34</v>
      </c>
      <c r="O35" s="24"/>
      <c r="P35" s="30" t="s">
        <v>164</v>
      </c>
      <c r="Q35" s="53"/>
      <c r="R35" s="30" t="s">
        <v>34</v>
      </c>
      <c r="T35" s="30" t="s">
        <v>164</v>
      </c>
      <c r="U35" s="53"/>
      <c r="V35" s="88" t="s">
        <v>34</v>
      </c>
    </row>
    <row r="36" spans="2:22" x14ac:dyDescent="0.3">
      <c r="B36" s="90"/>
      <c r="C36" s="30" t="s">
        <v>146</v>
      </c>
      <c r="D36" s="53"/>
      <c r="E36" s="30" t="s">
        <v>103</v>
      </c>
      <c r="F36" s="24"/>
      <c r="G36" s="24"/>
      <c r="H36" s="30" t="s">
        <v>146</v>
      </c>
      <c r="I36" s="53"/>
      <c r="J36" s="30" t="s">
        <v>103</v>
      </c>
      <c r="K36" s="24"/>
      <c r="L36" s="30" t="s">
        <v>146</v>
      </c>
      <c r="M36" s="53"/>
      <c r="N36" s="30" t="s">
        <v>103</v>
      </c>
      <c r="O36" s="24"/>
      <c r="P36" s="30" t="s">
        <v>146</v>
      </c>
      <c r="Q36" s="53"/>
      <c r="R36" s="30" t="s">
        <v>103</v>
      </c>
      <c r="T36" s="30" t="s">
        <v>146</v>
      </c>
      <c r="U36" s="53"/>
      <c r="V36" s="88" t="s">
        <v>103</v>
      </c>
    </row>
    <row r="37" spans="2:22" x14ac:dyDescent="0.3">
      <c r="B37" s="23"/>
      <c r="C37" s="30" t="s">
        <v>147</v>
      </c>
      <c r="D37" s="53"/>
      <c r="E37" s="30" t="s">
        <v>103</v>
      </c>
      <c r="F37" s="24"/>
      <c r="G37" s="24"/>
      <c r="H37" s="30" t="s">
        <v>147</v>
      </c>
      <c r="I37" s="53"/>
      <c r="J37" s="30" t="s">
        <v>103</v>
      </c>
      <c r="K37" s="24"/>
      <c r="L37" s="30" t="s">
        <v>147</v>
      </c>
      <c r="M37" s="53"/>
      <c r="N37" s="30" t="s">
        <v>103</v>
      </c>
      <c r="O37" s="24"/>
      <c r="P37" s="30" t="s">
        <v>147</v>
      </c>
      <c r="Q37" s="53"/>
      <c r="R37" s="30" t="s">
        <v>103</v>
      </c>
      <c r="T37" s="30" t="s">
        <v>147</v>
      </c>
      <c r="U37" s="53"/>
      <c r="V37" s="88" t="s">
        <v>103</v>
      </c>
    </row>
    <row r="38" spans="2:22" x14ac:dyDescent="0.3">
      <c r="B38" s="23"/>
      <c r="C38" s="24"/>
      <c r="E38" s="31"/>
      <c r="F38" s="24"/>
      <c r="G38" s="24"/>
      <c r="H38" s="24"/>
      <c r="J38" s="31"/>
      <c r="K38" s="24"/>
      <c r="L38" s="24"/>
      <c r="N38" s="31"/>
      <c r="O38" s="24"/>
      <c r="P38" s="24"/>
      <c r="Q38" s="21"/>
      <c r="R38" s="31"/>
      <c r="U38" s="21"/>
      <c r="V38" s="89"/>
    </row>
    <row r="39" spans="2:22" x14ac:dyDescent="0.3">
      <c r="B39" s="23"/>
      <c r="C39" s="31" t="s">
        <v>161</v>
      </c>
      <c r="D39" s="54"/>
      <c r="E39" s="30" t="s">
        <v>103</v>
      </c>
      <c r="F39" s="24"/>
      <c r="G39" s="24"/>
      <c r="H39" s="31" t="s">
        <v>161</v>
      </c>
      <c r="I39" s="53"/>
      <c r="J39" s="30" t="s">
        <v>103</v>
      </c>
      <c r="K39" s="24"/>
      <c r="L39" s="31" t="s">
        <v>161</v>
      </c>
      <c r="M39" s="53"/>
      <c r="N39" s="30" t="s">
        <v>103</v>
      </c>
      <c r="O39" s="24"/>
      <c r="P39" s="31" t="s">
        <v>161</v>
      </c>
      <c r="Q39" s="53"/>
      <c r="R39" s="30" t="s">
        <v>103</v>
      </c>
      <c r="T39" s="31" t="s">
        <v>161</v>
      </c>
      <c r="U39" s="53"/>
      <c r="V39" s="88" t="s">
        <v>103</v>
      </c>
    </row>
    <row r="40" spans="2:22" x14ac:dyDescent="0.3">
      <c r="B40" s="23"/>
      <c r="C40" s="30" t="s">
        <v>162</v>
      </c>
      <c r="D40" s="54"/>
      <c r="E40" s="31" t="s">
        <v>103</v>
      </c>
      <c r="F40" s="24"/>
      <c r="G40" s="24"/>
      <c r="H40" s="30" t="s">
        <v>162</v>
      </c>
      <c r="I40" s="53"/>
      <c r="J40" s="31" t="s">
        <v>103</v>
      </c>
      <c r="K40" s="24"/>
      <c r="L40" s="30" t="s">
        <v>162</v>
      </c>
      <c r="M40" s="53"/>
      <c r="N40" s="31" t="s">
        <v>103</v>
      </c>
      <c r="O40" s="24"/>
      <c r="P40" s="30" t="s">
        <v>162</v>
      </c>
      <c r="Q40" s="53"/>
      <c r="R40" s="31" t="s">
        <v>103</v>
      </c>
      <c r="T40" s="30" t="s">
        <v>162</v>
      </c>
      <c r="U40" s="53"/>
      <c r="V40" s="89" t="s">
        <v>103</v>
      </c>
    </row>
    <row r="41" spans="2:22" x14ac:dyDescent="0.3">
      <c r="B41" s="23"/>
      <c r="C41" s="31" t="s">
        <v>165</v>
      </c>
      <c r="D41" s="54"/>
      <c r="E41" s="30" t="s">
        <v>34</v>
      </c>
      <c r="F41" s="24"/>
      <c r="G41" s="24"/>
      <c r="H41" s="31" t="s">
        <v>165</v>
      </c>
      <c r="I41" s="53"/>
      <c r="J41" s="30" t="s">
        <v>34</v>
      </c>
      <c r="K41" s="24"/>
      <c r="L41" s="31" t="s">
        <v>165</v>
      </c>
      <c r="M41" s="53">
        <v>450</v>
      </c>
      <c r="N41" s="30" t="s">
        <v>34</v>
      </c>
      <c r="O41" s="24"/>
      <c r="P41" s="31" t="s">
        <v>165</v>
      </c>
      <c r="Q41" s="53"/>
      <c r="R41" s="30" t="s">
        <v>34</v>
      </c>
      <c r="T41" s="31" t="s">
        <v>165</v>
      </c>
      <c r="U41" s="53"/>
      <c r="V41" s="88" t="s">
        <v>34</v>
      </c>
    </row>
    <row r="42" spans="2:22" x14ac:dyDescent="0.3">
      <c r="B42" s="23"/>
      <c r="C42" s="30" t="s">
        <v>166</v>
      </c>
      <c r="D42" s="54"/>
      <c r="E42" s="30" t="s">
        <v>34</v>
      </c>
      <c r="F42" s="24"/>
      <c r="G42" s="24"/>
      <c r="H42" s="30" t="s">
        <v>166</v>
      </c>
      <c r="I42" s="53"/>
      <c r="J42" s="30" t="s">
        <v>34</v>
      </c>
      <c r="K42" s="24"/>
      <c r="L42" s="30" t="s">
        <v>166</v>
      </c>
      <c r="M42" s="53">
        <v>200</v>
      </c>
      <c r="N42" s="30" t="s">
        <v>34</v>
      </c>
      <c r="O42" s="24"/>
      <c r="P42" s="30" t="s">
        <v>166</v>
      </c>
      <c r="Q42" s="53"/>
      <c r="R42" s="30" t="s">
        <v>34</v>
      </c>
      <c r="T42" s="30" t="s">
        <v>166</v>
      </c>
      <c r="U42" s="53"/>
      <c r="V42" s="88" t="s">
        <v>34</v>
      </c>
    </row>
    <row r="43" spans="2:22" x14ac:dyDescent="0.3">
      <c r="B43" s="23"/>
      <c r="C43" s="30" t="s">
        <v>148</v>
      </c>
      <c r="D43" s="54"/>
      <c r="E43" s="30" t="s">
        <v>103</v>
      </c>
      <c r="F43" s="24"/>
      <c r="G43" s="24"/>
      <c r="H43" s="30" t="s">
        <v>148</v>
      </c>
      <c r="I43" s="53"/>
      <c r="J43" s="30" t="s">
        <v>103</v>
      </c>
      <c r="K43" s="24"/>
      <c r="L43" s="30" t="s">
        <v>148</v>
      </c>
      <c r="M43" s="53"/>
      <c r="N43" s="30" t="s">
        <v>103</v>
      </c>
      <c r="O43" s="24"/>
      <c r="P43" s="30" t="s">
        <v>148</v>
      </c>
      <c r="Q43" s="53"/>
      <c r="R43" s="30" t="s">
        <v>103</v>
      </c>
      <c r="T43" s="30" t="s">
        <v>148</v>
      </c>
      <c r="U43" s="53"/>
      <c r="V43" s="88" t="s">
        <v>103</v>
      </c>
    </row>
    <row r="44" spans="2:22" x14ac:dyDescent="0.3">
      <c r="B44" s="23"/>
      <c r="C44" s="30" t="s">
        <v>149</v>
      </c>
      <c r="D44" s="54"/>
      <c r="E44" s="31" t="s">
        <v>103</v>
      </c>
      <c r="F44" s="24"/>
      <c r="G44" s="24"/>
      <c r="H44" s="30" t="s">
        <v>149</v>
      </c>
      <c r="I44" s="53"/>
      <c r="J44" s="31" t="s">
        <v>103</v>
      </c>
      <c r="K44" s="24"/>
      <c r="L44" s="30" t="s">
        <v>149</v>
      </c>
      <c r="M44" s="53"/>
      <c r="N44" s="31" t="s">
        <v>103</v>
      </c>
      <c r="O44" s="24"/>
      <c r="P44" s="30" t="s">
        <v>149</v>
      </c>
      <c r="Q44" s="53"/>
      <c r="R44" s="31" t="s">
        <v>103</v>
      </c>
      <c r="T44" s="30" t="s">
        <v>149</v>
      </c>
      <c r="U44" s="53"/>
      <c r="V44" s="89" t="s">
        <v>103</v>
      </c>
    </row>
    <row r="45" spans="2:22" x14ac:dyDescent="0.3">
      <c r="B45" s="23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47"/>
      <c r="V45" s="25"/>
    </row>
    <row r="46" spans="2:22" x14ac:dyDescent="0.3">
      <c r="B46" s="23"/>
      <c r="C46" s="45" t="s">
        <v>155</v>
      </c>
      <c r="D46" s="84"/>
      <c r="E46" s="24" t="s">
        <v>15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V46" s="25"/>
    </row>
    <row r="47" spans="2:22" ht="15" thickBot="1" x14ac:dyDescent="0.35">
      <c r="B47" s="26"/>
      <c r="C47" s="86"/>
      <c r="D47" s="86"/>
      <c r="E47" s="86"/>
      <c r="F47" s="86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7"/>
    </row>
    <row r="48" spans="2:22" x14ac:dyDescent="0.3">
      <c r="B48" s="24"/>
      <c r="C48"/>
      <c r="D48"/>
      <c r="E48"/>
      <c r="F48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22" ht="15" thickBot="1" x14ac:dyDescent="0.35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</row>
    <row r="50" spans="1:22" x14ac:dyDescent="0.3">
      <c r="B50" s="124" t="s">
        <v>16</v>
      </c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6"/>
    </row>
    <row r="51" spans="1:22" x14ac:dyDescent="0.3"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V51" s="25"/>
    </row>
    <row r="52" spans="1:22" x14ac:dyDescent="0.3">
      <c r="B52" s="23"/>
      <c r="C52" s="122" t="s">
        <v>1</v>
      </c>
      <c r="D52" s="122"/>
      <c r="E52" s="122"/>
      <c r="F52" s="91"/>
      <c r="G52" s="24"/>
      <c r="H52" s="122" t="s">
        <v>2</v>
      </c>
      <c r="I52" s="122"/>
      <c r="J52" s="122"/>
      <c r="K52" s="24"/>
      <c r="L52" s="122" t="s">
        <v>230</v>
      </c>
      <c r="M52" s="122"/>
      <c r="N52" s="122"/>
      <c r="O52" s="24"/>
      <c r="P52" s="122" t="s">
        <v>208</v>
      </c>
      <c r="Q52" s="122"/>
      <c r="R52" s="122"/>
      <c r="T52" s="122" t="s">
        <v>207</v>
      </c>
      <c r="U52" s="122"/>
      <c r="V52" s="123"/>
    </row>
    <row r="53" spans="1:22" x14ac:dyDescent="0.3">
      <c r="B53" s="23"/>
      <c r="C53" s="31" t="s">
        <v>9</v>
      </c>
      <c r="D53" s="55" t="s">
        <v>25</v>
      </c>
      <c r="E53" s="31"/>
      <c r="F53" s="24"/>
      <c r="G53" s="24"/>
      <c r="H53" s="31" t="s">
        <v>9</v>
      </c>
      <c r="I53" s="57" t="s">
        <v>26</v>
      </c>
      <c r="J53" s="31"/>
      <c r="K53" s="24"/>
      <c r="L53" s="31" t="s">
        <v>9</v>
      </c>
      <c r="M53" s="57" t="s">
        <v>26</v>
      </c>
      <c r="N53" s="31"/>
      <c r="O53" s="24"/>
      <c r="P53" s="31" t="s">
        <v>9</v>
      </c>
      <c r="Q53" s="57" t="s">
        <v>26</v>
      </c>
      <c r="R53" s="31"/>
      <c r="T53" s="31" t="s">
        <v>9</v>
      </c>
      <c r="U53" s="57" t="s">
        <v>26</v>
      </c>
      <c r="V53" s="89"/>
    </row>
    <row r="54" spans="1:22" ht="18" customHeight="1" x14ac:dyDescent="0.3">
      <c r="B54" s="23"/>
      <c r="C54" s="30" t="s">
        <v>10</v>
      </c>
      <c r="D54" s="80">
        <f>VLOOKUP(D53,Table9[#All],2,FALSE)</f>
        <v>2.5</v>
      </c>
      <c r="E54" s="30" t="s">
        <v>8</v>
      </c>
      <c r="F54" s="24"/>
      <c r="G54" s="24"/>
      <c r="H54" s="30" t="s">
        <v>10</v>
      </c>
      <c r="I54" s="56">
        <f>VLOOKUP(I53,Table9[#All],2,FALSE)</f>
        <v>1</v>
      </c>
      <c r="J54" s="30" t="s">
        <v>8</v>
      </c>
      <c r="K54" s="24"/>
      <c r="L54" s="30" t="s">
        <v>10</v>
      </c>
      <c r="M54" s="56">
        <f>VLOOKUP(M53,Table9[#All],2,FALSE)</f>
        <v>1</v>
      </c>
      <c r="N54" s="30" t="s">
        <v>8</v>
      </c>
      <c r="O54" s="24"/>
      <c r="P54" s="30" t="s">
        <v>10</v>
      </c>
      <c r="Q54" s="56">
        <f>VLOOKUP(Q53,Table9[#All],2,FALSE)</f>
        <v>1</v>
      </c>
      <c r="R54" s="30" t="s">
        <v>8</v>
      </c>
      <c r="T54" s="30" t="s">
        <v>10</v>
      </c>
      <c r="U54" s="56">
        <f>VLOOKUP(U53,Table9[#All],2,FALSE)</f>
        <v>1</v>
      </c>
      <c r="V54" s="88" t="s">
        <v>8</v>
      </c>
    </row>
    <row r="55" spans="1:22" ht="19.95" customHeight="1" x14ac:dyDescent="0.3">
      <c r="B55" s="23"/>
      <c r="C55" s="30" t="s">
        <v>174</v>
      </c>
      <c r="D55" s="81">
        <f>D6/3</f>
        <v>0</v>
      </c>
      <c r="E55" s="31" t="s">
        <v>175</v>
      </c>
      <c r="F55" s="24"/>
      <c r="G55" s="24"/>
      <c r="H55" s="30" t="s">
        <v>174</v>
      </c>
      <c r="I55" s="80">
        <f>D7/10</f>
        <v>0</v>
      </c>
      <c r="J55" s="31" t="s">
        <v>175</v>
      </c>
      <c r="K55" s="24"/>
      <c r="L55" s="30" t="s">
        <v>174</v>
      </c>
      <c r="M55" s="80">
        <f>G8</f>
        <v>0</v>
      </c>
      <c r="N55" s="31" t="s">
        <v>175</v>
      </c>
      <c r="O55" s="24"/>
      <c r="P55" s="30" t="s">
        <v>174</v>
      </c>
      <c r="Q55" s="80">
        <f>D9/3</f>
        <v>0</v>
      </c>
      <c r="R55" s="31" t="s">
        <v>175</v>
      </c>
      <c r="T55" s="30" t="s">
        <v>174</v>
      </c>
      <c r="U55" s="80">
        <f>G10*1.1</f>
        <v>0</v>
      </c>
      <c r="V55" s="89" t="s">
        <v>175</v>
      </c>
    </row>
    <row r="56" spans="1:22" s="52" customFormat="1" ht="33.6" customHeight="1" x14ac:dyDescent="0.3">
      <c r="A56" s="48"/>
      <c r="B56" s="49"/>
      <c r="C56" s="50" t="s">
        <v>176</v>
      </c>
      <c r="D56" s="59"/>
      <c r="E56" s="31" t="s">
        <v>12</v>
      </c>
      <c r="F56" s="24"/>
      <c r="G56" s="48"/>
      <c r="H56" s="50" t="s">
        <v>176</v>
      </c>
      <c r="I56" s="58"/>
      <c r="J56" s="31" t="s">
        <v>12</v>
      </c>
      <c r="K56" s="48"/>
      <c r="L56" s="50" t="s">
        <v>176</v>
      </c>
      <c r="M56" s="58">
        <v>0</v>
      </c>
      <c r="N56" s="31" t="s">
        <v>12</v>
      </c>
      <c r="O56" s="48"/>
      <c r="P56" s="50" t="s">
        <v>176</v>
      </c>
      <c r="Q56" s="58"/>
      <c r="R56" s="31" t="s">
        <v>12</v>
      </c>
      <c r="S56" s="48"/>
      <c r="T56" s="50" t="s">
        <v>176</v>
      </c>
      <c r="U56" s="58">
        <v>0</v>
      </c>
      <c r="V56" s="89" t="s">
        <v>12</v>
      </c>
    </row>
    <row r="57" spans="1:22" s="52" customFormat="1" x14ac:dyDescent="0.3">
      <c r="A57" s="48"/>
      <c r="B57" s="23"/>
      <c r="C57" s="47"/>
      <c r="D57" s="47"/>
      <c r="E57" s="24"/>
      <c r="F57" s="24"/>
      <c r="G57" s="24"/>
      <c r="H57" s="24"/>
      <c r="I57" s="24"/>
      <c r="J57" s="21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60"/>
      <c r="V57" s="51"/>
    </row>
    <row r="58" spans="1:22" s="52" customFormat="1" x14ac:dyDescent="0.3">
      <c r="A58" s="48"/>
      <c r="B58" s="23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48"/>
      <c r="V58" s="51"/>
    </row>
    <row r="59" spans="1:22" x14ac:dyDescent="0.3">
      <c r="B59" s="23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V59" s="25"/>
    </row>
    <row r="60" spans="1:22" s="24" customFormat="1" x14ac:dyDescent="0.3">
      <c r="B60" s="23"/>
      <c r="C60" s="122" t="s">
        <v>184</v>
      </c>
      <c r="D60" s="122"/>
      <c r="E60" s="122"/>
      <c r="F60" s="82"/>
      <c r="V60" s="25"/>
    </row>
    <row r="61" spans="1:22" s="24" customFormat="1" x14ac:dyDescent="0.3">
      <c r="B61" s="23"/>
      <c r="V61" s="25"/>
    </row>
    <row r="62" spans="1:22" s="24" customFormat="1" x14ac:dyDescent="0.3">
      <c r="B62" s="23"/>
      <c r="C62" s="60" t="s">
        <v>181</v>
      </c>
      <c r="D62" s="61"/>
      <c r="E62" s="30" t="s">
        <v>183</v>
      </c>
      <c r="V62" s="25"/>
    </row>
    <row r="63" spans="1:22" s="24" customFormat="1" ht="28.8" x14ac:dyDescent="0.3">
      <c r="B63" s="23"/>
      <c r="C63" s="60" t="s">
        <v>185</v>
      </c>
      <c r="D63" s="61"/>
      <c r="E63" s="31" t="s">
        <v>183</v>
      </c>
      <c r="V63" s="25"/>
    </row>
    <row r="64" spans="1:22" s="24" customFormat="1" ht="28.8" x14ac:dyDescent="0.3">
      <c r="B64" s="23"/>
      <c r="C64" s="60" t="s">
        <v>182</v>
      </c>
      <c r="D64" s="61"/>
      <c r="E64" s="31" t="s">
        <v>183</v>
      </c>
      <c r="V64" s="25"/>
    </row>
    <row r="65" spans="2:22" s="24" customFormat="1" ht="15" thickBot="1" x14ac:dyDescent="0.35">
      <c r="B65" s="26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7"/>
    </row>
    <row r="66" spans="2:22" s="24" customFormat="1" x14ac:dyDescent="0.3"/>
    <row r="67" spans="2:22" s="24" customFormat="1" x14ac:dyDescent="0.3"/>
    <row r="68" spans="2:22" s="24" customFormat="1" x14ac:dyDescent="0.3"/>
    <row r="69" spans="2:22" s="24" customFormat="1" x14ac:dyDescent="0.3"/>
    <row r="70" spans="2:22" s="24" customFormat="1" x14ac:dyDescent="0.3"/>
    <row r="71" spans="2:22" s="24" customFormat="1" x14ac:dyDescent="0.3"/>
    <row r="72" spans="2:22" s="24" customFormat="1" x14ac:dyDescent="0.3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2:22" s="24" customFormat="1" x14ac:dyDescent="0.3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</sheetData>
  <mergeCells count="18">
    <mergeCell ref="C60:E60"/>
    <mergeCell ref="L31:N31"/>
    <mergeCell ref="L52:N52"/>
    <mergeCell ref="B3:E3"/>
    <mergeCell ref="H22:J22"/>
    <mergeCell ref="P52:R52"/>
    <mergeCell ref="T52:V52"/>
    <mergeCell ref="G3:J3"/>
    <mergeCell ref="B50:V50"/>
    <mergeCell ref="L22:N22"/>
    <mergeCell ref="P22:R22"/>
    <mergeCell ref="P31:R31"/>
    <mergeCell ref="T22:V22"/>
    <mergeCell ref="T31:V31"/>
    <mergeCell ref="B20:V20"/>
    <mergeCell ref="H31:J31"/>
    <mergeCell ref="C52:E52"/>
    <mergeCell ref="H52:J5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1712312-7D90-473F-B484-A885C015726F}">
          <x14:formula1>
            <xm:f>'Drop down'!$B$17:$B$20</xm:f>
          </x14:formula1>
          <xm:sqref>D27 M27 Q27 U27</xm:sqref>
        </x14:dataValidation>
        <x14:dataValidation type="list" allowBlank="1" showInputMessage="1" showErrorMessage="1" xr:uid="{39A5DA69-2DBD-43B9-8E97-7F495E45FEEE}">
          <x14:formula1>
            <xm:f>'Drop down'!$I$15:$I$16</xm:f>
          </x14:formula1>
          <xm:sqref>D16</xm:sqref>
        </x14:dataValidation>
        <x14:dataValidation type="list" allowBlank="1" showInputMessage="1" showErrorMessage="1" xr:uid="{DD0F05A1-B51A-4669-A086-DC36CEA50C61}">
          <x14:formula1>
            <xm:f>'Drop down'!$B$12:$B$13</xm:f>
          </x14:formula1>
          <xm:sqref>D53 I53 M53 Q53 U53</xm:sqref>
        </x14:dataValidation>
        <x14:dataValidation type="list" allowBlank="1" showInputMessage="1" showErrorMessage="1" xr:uid="{2BDFB866-C556-49AE-94F5-F0507B37250D}">
          <x14:formula1>
            <xm:f>'Drop down'!$B$23:$B$24</xm:f>
          </x14:formula1>
          <xm:sqref>D24 I24 M24 Q24 U24</xm:sqref>
        </x14:dataValidation>
        <x14:dataValidation type="list" allowBlank="1" showInputMessage="1" showErrorMessage="1" xr:uid="{C66F5A91-A47C-4591-9BDE-690D71CAF351}">
          <x14:formula1>
            <xm:f>'Drop down'!$I$10:$I$11</xm:f>
          </x14:formula1>
          <xm:sqref>I5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6EFC-C7D2-4042-961D-0867141FF08C}">
  <dimension ref="A1"/>
  <sheetViews>
    <sheetView topLeftCell="A22" workbookViewId="0"/>
  </sheetViews>
  <sheetFormatPr defaultColWidth="8.88671875" defaultRowHeight="14.4" x14ac:dyDescent="0.3"/>
  <cols>
    <col min="1" max="16384" width="8.88671875" style="21"/>
  </cols>
  <sheetData/>
  <pageMargins left="0.7" right="0.7" top="0.75" bottom="0.75" header="0.3" footer="0.3"/>
  <pageSetup paperSize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3289-C83F-4482-8B26-9A879D6E09A4}">
  <dimension ref="B2:H46"/>
  <sheetViews>
    <sheetView workbookViewId="0"/>
  </sheetViews>
  <sheetFormatPr defaultRowHeight="14.4" x14ac:dyDescent="0.3"/>
  <cols>
    <col min="2" max="2" width="35.33203125" bestFit="1" customWidth="1"/>
    <col min="3" max="3" width="12.44140625" bestFit="1" customWidth="1"/>
    <col min="6" max="6" width="32.88671875" bestFit="1" customWidth="1"/>
    <col min="7" max="7" width="12.44140625" bestFit="1" customWidth="1"/>
  </cols>
  <sheetData>
    <row r="2" spans="2:8" ht="17.399999999999999" x14ac:dyDescent="0.35">
      <c r="B2" s="70" t="s">
        <v>92</v>
      </c>
      <c r="C2" s="70"/>
      <c r="D2" s="70"/>
      <c r="E2" s="70"/>
      <c r="F2" s="70" t="s">
        <v>93</v>
      </c>
    </row>
    <row r="3" spans="2:8" ht="27" x14ac:dyDescent="0.3">
      <c r="B3" s="5" t="s">
        <v>167</v>
      </c>
      <c r="C3" s="6" t="s">
        <v>47</v>
      </c>
      <c r="D3" s="6" t="s">
        <v>48</v>
      </c>
      <c r="G3" s="6" t="s">
        <v>47</v>
      </c>
      <c r="H3" s="6" t="s">
        <v>48</v>
      </c>
    </row>
    <row r="4" spans="2:8" x14ac:dyDescent="0.3">
      <c r="B4" s="6" t="s">
        <v>49</v>
      </c>
      <c r="C4" s="10">
        <f>'Inputs Non-Residential'!I5</f>
        <v>6</v>
      </c>
      <c r="D4" s="6" t="s">
        <v>50</v>
      </c>
      <c r="F4" s="6" t="s">
        <v>42</v>
      </c>
      <c r="G4" s="10">
        <f>'Inputs Non-Residential'!I5</f>
        <v>6</v>
      </c>
      <c r="H4" s="6" t="s">
        <v>50</v>
      </c>
    </row>
    <row r="5" spans="2:8" x14ac:dyDescent="0.3">
      <c r="B5" s="6" t="s">
        <v>51</v>
      </c>
      <c r="C5" s="10">
        <f>VLOOKUP(C4,Table12[#All],2,FALSE)</f>
        <v>28.22345208242939</v>
      </c>
      <c r="D5" s="6" t="s">
        <v>103</v>
      </c>
      <c r="F5" s="6" t="s">
        <v>51</v>
      </c>
      <c r="G5" s="10">
        <f>VLOOKUP(C4,Table12[#All],2,FALSE)*(1-('Inputs Non-Residential'!D23/100))</f>
        <v>27.6589830407808</v>
      </c>
      <c r="H5" s="6" t="s">
        <v>103</v>
      </c>
    </row>
    <row r="7" spans="2:8" x14ac:dyDescent="0.3">
      <c r="B7" s="6" t="s">
        <v>53</v>
      </c>
      <c r="C7" s="12">
        <v>3.1</v>
      </c>
      <c r="D7" s="6" t="s">
        <v>8</v>
      </c>
      <c r="F7" s="6" t="s">
        <v>84</v>
      </c>
      <c r="G7" s="11">
        <f>'Inputs Non-Residential'!D25</f>
        <v>3.4</v>
      </c>
      <c r="H7" s="6" t="s">
        <v>8</v>
      </c>
    </row>
    <row r="9" spans="2:8" x14ac:dyDescent="0.3">
      <c r="B9" s="7" t="s">
        <v>54</v>
      </c>
      <c r="C9" s="13">
        <f>IF(SUM('Inputs Non-Residential'!D32:D37)=0,(C5/C7)*'Inputs Non-Residential'!D6,(('Inputs Non-Residential'!D32+'Inputs Non-Residential'!D33)*'Inputs Non-Residential'!D6))</f>
        <v>0</v>
      </c>
      <c r="D9" s="7" t="s">
        <v>52</v>
      </c>
      <c r="E9" s="8"/>
      <c r="F9" s="7" t="s">
        <v>55</v>
      </c>
      <c r="G9" s="13">
        <f>IF(SUM('Inputs Non-Residential'!D39:D44)=0,(G5/G7)*'Inputs Non-Residential'!D6,(('Inputs Non-Residential'!D39+'Inputs Non-Residential'!D40)*'Inputs Non-Residential'!D6))</f>
        <v>0</v>
      </c>
      <c r="H9" s="7" t="s">
        <v>52</v>
      </c>
    </row>
    <row r="10" spans="2:8" x14ac:dyDescent="0.3">
      <c r="B10" s="6"/>
      <c r="C10" s="18"/>
      <c r="D10" s="6"/>
      <c r="F10" s="6"/>
      <c r="G10" s="18"/>
      <c r="H10" s="6"/>
    </row>
    <row r="11" spans="2:8" ht="27" x14ac:dyDescent="0.3">
      <c r="B11" s="5" t="s">
        <v>169</v>
      </c>
      <c r="C11" s="6" t="s">
        <v>47</v>
      </c>
      <c r="D11" s="6" t="s">
        <v>48</v>
      </c>
      <c r="G11" s="6" t="s">
        <v>47</v>
      </c>
      <c r="H11" s="6" t="s">
        <v>48</v>
      </c>
    </row>
    <row r="12" spans="2:8" x14ac:dyDescent="0.3">
      <c r="B12" s="6" t="s">
        <v>49</v>
      </c>
      <c r="C12" s="10">
        <f>'Inputs Non-Residential'!I5</f>
        <v>6</v>
      </c>
      <c r="D12" s="6" t="s">
        <v>50</v>
      </c>
      <c r="F12" s="6" t="s">
        <v>42</v>
      </c>
      <c r="G12" s="10">
        <f>'Inputs Non-Residential'!I5</f>
        <v>6</v>
      </c>
      <c r="H12" s="6" t="s">
        <v>50</v>
      </c>
    </row>
    <row r="13" spans="2:8" x14ac:dyDescent="0.3">
      <c r="B13" s="6" t="s">
        <v>51</v>
      </c>
      <c r="C13" s="10">
        <f>SUM('Inputs Non-Residential'!D34:D35)</f>
        <v>0</v>
      </c>
      <c r="D13" s="6" t="s">
        <v>34</v>
      </c>
      <c r="F13" s="6" t="s">
        <v>51</v>
      </c>
      <c r="G13" s="10">
        <f>SUM('Inputs Non-Residential'!D41:D42)</f>
        <v>0</v>
      </c>
      <c r="H13" s="6" t="s">
        <v>34</v>
      </c>
    </row>
    <row r="15" spans="2:8" x14ac:dyDescent="0.3">
      <c r="B15" s="6" t="s">
        <v>53</v>
      </c>
      <c r="C15" s="12">
        <v>3.1</v>
      </c>
      <c r="D15" s="6" t="s">
        <v>8</v>
      </c>
      <c r="F15" s="6" t="s">
        <v>84</v>
      </c>
      <c r="G15" s="11">
        <f>'Inputs Non-Residential'!D25</f>
        <v>3.4</v>
      </c>
      <c r="H15" s="6" t="s">
        <v>8</v>
      </c>
    </row>
    <row r="17" spans="2:8" x14ac:dyDescent="0.3">
      <c r="B17" s="7" t="s">
        <v>54</v>
      </c>
      <c r="C17" s="13">
        <f>SUM('Inputs Non-Residential'!D34:D35)*'Inputs Non-Residential'!D6</f>
        <v>0</v>
      </c>
      <c r="D17" s="7" t="s">
        <v>168</v>
      </c>
      <c r="E17" s="8"/>
      <c r="F17" s="7" t="s">
        <v>55</v>
      </c>
      <c r="G17" s="13">
        <f>SUM('Inputs Non-Residential'!D41:D42)*'Inputs Non-Residential'!D6</f>
        <v>0</v>
      </c>
      <c r="H17" s="7" t="s">
        <v>168</v>
      </c>
    </row>
    <row r="19" spans="2:8" x14ac:dyDescent="0.3">
      <c r="B19" s="1" t="s">
        <v>150</v>
      </c>
      <c r="C19" s="6"/>
      <c r="D19" s="6"/>
      <c r="G19" s="6"/>
      <c r="H19" s="6"/>
    </row>
    <row r="20" spans="2:8" x14ac:dyDescent="0.3">
      <c r="B20" s="1"/>
      <c r="C20" s="6"/>
      <c r="D20" s="6"/>
      <c r="G20" s="6"/>
      <c r="H20" s="6"/>
    </row>
    <row r="21" spans="2:8" x14ac:dyDescent="0.3">
      <c r="B21" s="7" t="s">
        <v>151</v>
      </c>
      <c r="C21" s="13">
        <f>'Inputs Non-Residential'!D36*'Inputs Non-Residential'!D6</f>
        <v>0</v>
      </c>
      <c r="D21" s="7" t="s">
        <v>52</v>
      </c>
      <c r="E21" s="8"/>
      <c r="F21" s="7" t="s">
        <v>152</v>
      </c>
      <c r="G21" s="13">
        <f>'Inputs Non-Residential'!D43*'Inputs Non-Residential'!D6</f>
        <v>0</v>
      </c>
      <c r="H21" s="7" t="s">
        <v>52</v>
      </c>
    </row>
    <row r="23" spans="2:8" x14ac:dyDescent="0.3">
      <c r="B23" s="9" t="s">
        <v>63</v>
      </c>
      <c r="C23" s="6" t="s">
        <v>47</v>
      </c>
      <c r="D23" s="6" t="s">
        <v>48</v>
      </c>
      <c r="G23" s="6" t="s">
        <v>47</v>
      </c>
      <c r="H23" s="6" t="s">
        <v>48</v>
      </c>
    </row>
    <row r="24" spans="2:8" x14ac:dyDescent="0.3">
      <c r="B24" s="6" t="s">
        <v>64</v>
      </c>
      <c r="C24" s="10">
        <v>14</v>
      </c>
      <c r="D24" s="6" t="s">
        <v>57</v>
      </c>
      <c r="F24" s="6" t="s">
        <v>65</v>
      </c>
      <c r="G24" s="10">
        <f>C24*(1-('Inputs Non-Residential'!D26/100))</f>
        <v>14</v>
      </c>
      <c r="H24" s="6" t="s">
        <v>57</v>
      </c>
    </row>
    <row r="25" spans="2:8" x14ac:dyDescent="0.3">
      <c r="B25" s="6" t="s">
        <v>104</v>
      </c>
      <c r="C25" s="10">
        <v>8</v>
      </c>
      <c r="D25" s="6" t="s">
        <v>60</v>
      </c>
      <c r="F25" s="6" t="s">
        <v>104</v>
      </c>
      <c r="G25" s="10">
        <v>8</v>
      </c>
      <c r="H25" s="6" t="s">
        <v>60</v>
      </c>
    </row>
    <row r="27" spans="2:8" x14ac:dyDescent="0.3">
      <c r="B27" s="7" t="s">
        <v>67</v>
      </c>
      <c r="C27" s="13">
        <f>IF('Inputs Non-Residential'!D37=0,((C24/1000)*C25*'Inputs Non-Residential'!D6*365),('Inputs Non-Residential'!D37*'Inputs Non-Residential'!D6))</f>
        <v>0</v>
      </c>
      <c r="D27" s="7" t="s">
        <v>52</v>
      </c>
      <c r="E27" s="8"/>
      <c r="F27" s="8" t="s">
        <v>68</v>
      </c>
      <c r="G27" s="13">
        <f>IF('Inputs Non-Residential'!D44=0,((G24/1000)*G25*'Inputs Non-Residential'!D6*365),'Inputs Non-Residential'!D44*'Inputs Non-Residential'!D6)</f>
        <v>0</v>
      </c>
      <c r="H27" s="7" t="s">
        <v>52</v>
      </c>
    </row>
    <row r="29" spans="2:8" x14ac:dyDescent="0.3">
      <c r="B29" s="9" t="s">
        <v>69</v>
      </c>
      <c r="C29" s="6" t="s">
        <v>47</v>
      </c>
      <c r="D29" s="6" t="s">
        <v>48</v>
      </c>
      <c r="G29" s="6" t="s">
        <v>47</v>
      </c>
      <c r="H29" s="6" t="s">
        <v>48</v>
      </c>
    </row>
    <row r="30" spans="2:8" x14ac:dyDescent="0.3">
      <c r="B30" s="6" t="s">
        <v>70</v>
      </c>
      <c r="C30" s="10">
        <f>('Inputs Non-Residential'!D55*0.26*20*4.5*365)</f>
        <v>0</v>
      </c>
      <c r="D30" s="6" t="s">
        <v>71</v>
      </c>
      <c r="F30" s="6" t="s">
        <v>72</v>
      </c>
      <c r="G30" s="10">
        <f>C30*(1-('Inputs Non-Residential'!D56/100))</f>
        <v>0</v>
      </c>
      <c r="H30" s="6" t="s">
        <v>71</v>
      </c>
    </row>
    <row r="31" spans="2:8" x14ac:dyDescent="0.3">
      <c r="B31" s="6" t="s">
        <v>73</v>
      </c>
      <c r="C31" s="10">
        <v>15</v>
      </c>
      <c r="D31" s="6" t="s">
        <v>74</v>
      </c>
      <c r="F31" s="6" t="s">
        <v>73</v>
      </c>
      <c r="G31" s="10">
        <v>15</v>
      </c>
      <c r="H31" s="6" t="s">
        <v>74</v>
      </c>
    </row>
    <row r="32" spans="2:8" x14ac:dyDescent="0.3">
      <c r="B32" s="6" t="s">
        <v>75</v>
      </c>
      <c r="C32" s="10">
        <v>60</v>
      </c>
      <c r="D32" s="6" t="s">
        <v>74</v>
      </c>
      <c r="F32" s="6" t="s">
        <v>75</v>
      </c>
      <c r="G32" s="10">
        <v>60</v>
      </c>
      <c r="H32" s="6" t="s">
        <v>74</v>
      </c>
    </row>
    <row r="33" spans="2:8" x14ac:dyDescent="0.3">
      <c r="B33" s="6" t="s">
        <v>76</v>
      </c>
      <c r="C33" s="10">
        <v>4.1859999999999996E-3</v>
      </c>
      <c r="D33" s="6" t="s">
        <v>77</v>
      </c>
      <c r="F33" s="6" t="s">
        <v>76</v>
      </c>
      <c r="G33" s="10">
        <v>4.1859999999999996E-3</v>
      </c>
      <c r="H33" s="6" t="s">
        <v>77</v>
      </c>
    </row>
    <row r="34" spans="2:8" x14ac:dyDescent="0.3">
      <c r="B34" s="6" t="s">
        <v>78</v>
      </c>
      <c r="C34" s="10">
        <f>(C30*C33*(C32-C31))/3.6</f>
        <v>0</v>
      </c>
      <c r="D34" s="6" t="s">
        <v>52</v>
      </c>
      <c r="F34" s="6" t="s">
        <v>79</v>
      </c>
      <c r="G34" s="10">
        <f>(G30*G33*(G32-G31))/3.6</f>
        <v>0</v>
      </c>
      <c r="H34" s="6" t="s">
        <v>52</v>
      </c>
    </row>
    <row r="35" spans="2:8" x14ac:dyDescent="0.3">
      <c r="B35" s="6"/>
      <c r="D35" s="6"/>
      <c r="F35" s="6"/>
      <c r="H35" s="6"/>
    </row>
    <row r="36" spans="2:8" x14ac:dyDescent="0.3">
      <c r="B36" s="6" t="s">
        <v>80</v>
      </c>
      <c r="C36" s="10">
        <v>1</v>
      </c>
      <c r="D36" s="6" t="s">
        <v>8</v>
      </c>
      <c r="F36" t="s">
        <v>81</v>
      </c>
      <c r="G36" s="10">
        <f>'Inputs Non-Residential'!D54</f>
        <v>2.5</v>
      </c>
      <c r="H36" s="6" t="s">
        <v>8</v>
      </c>
    </row>
    <row r="38" spans="2:8" x14ac:dyDescent="0.3">
      <c r="B38" s="7" t="s">
        <v>82</v>
      </c>
      <c r="C38" s="13">
        <f>C34/C36</f>
        <v>0</v>
      </c>
      <c r="D38" s="7" t="s">
        <v>52</v>
      </c>
      <c r="E38" s="8"/>
      <c r="F38" s="7" t="s">
        <v>83</v>
      </c>
      <c r="G38" s="13">
        <f>G34/G36</f>
        <v>0</v>
      </c>
      <c r="H38" s="7" t="s">
        <v>52</v>
      </c>
    </row>
    <row r="40" spans="2:8" x14ac:dyDescent="0.3">
      <c r="B40" s="9" t="s">
        <v>85</v>
      </c>
      <c r="C40" t="s">
        <v>47</v>
      </c>
      <c r="D40" t="s">
        <v>48</v>
      </c>
    </row>
    <row r="41" spans="2:8" x14ac:dyDescent="0.3">
      <c r="B41" s="6" t="s">
        <v>194</v>
      </c>
      <c r="C41" t="s">
        <v>31</v>
      </c>
      <c r="F41" t="s">
        <v>194</v>
      </c>
      <c r="G41" t="str">
        <f>'Inputs Non-Residential'!D27</f>
        <v>None</v>
      </c>
    </row>
    <row r="42" spans="2:8" x14ac:dyDescent="0.3">
      <c r="B42" t="s">
        <v>157</v>
      </c>
      <c r="C42" t="s">
        <v>31</v>
      </c>
      <c r="F42" t="s">
        <v>158</v>
      </c>
      <c r="G42" t="str">
        <f>IF('Inputs Non-Residential'!D27="Gas","Gas","Electric")</f>
        <v>Electric</v>
      </c>
    </row>
    <row r="43" spans="2:8" x14ac:dyDescent="0.3">
      <c r="B43" t="s">
        <v>88</v>
      </c>
      <c r="C43" s="10">
        <f>'Drop down'!D19</f>
        <v>28.8</v>
      </c>
      <c r="D43" t="s">
        <v>38</v>
      </c>
      <c r="F43" t="s">
        <v>87</v>
      </c>
      <c r="G43" s="10">
        <f>VLOOKUP(G41,Table10[#All],3,FALSE)</f>
        <v>0</v>
      </c>
      <c r="H43" t="str">
        <f>VLOOKUP(G41,Table10[#All],4,FALSE)</f>
        <v>kW/h</v>
      </c>
    </row>
    <row r="44" spans="2:8" x14ac:dyDescent="0.3">
      <c r="B44" t="s">
        <v>59</v>
      </c>
      <c r="C44" s="10">
        <v>6</v>
      </c>
      <c r="D44" t="s">
        <v>89</v>
      </c>
      <c r="F44" t="s">
        <v>59</v>
      </c>
      <c r="G44" s="10">
        <v>6</v>
      </c>
      <c r="H44" t="s">
        <v>89</v>
      </c>
    </row>
    <row r="46" spans="2:8" x14ac:dyDescent="0.3">
      <c r="B46" s="8" t="s">
        <v>90</v>
      </c>
      <c r="C46" s="13">
        <f>IF('Inputs Non-Residential'!D27="None",0,(C43*C44*365))</f>
        <v>0</v>
      </c>
      <c r="D46" s="8" t="str">
        <f>IF(C42="Gas","MJ/yr","kWh/yr")</f>
        <v>MJ/yr</v>
      </c>
      <c r="E46" s="8"/>
      <c r="F46" s="8" t="s">
        <v>91</v>
      </c>
      <c r="G46" s="13">
        <f>IF(G42="Gas",(G43*G44*365),(G43*G44*365))</f>
        <v>0</v>
      </c>
      <c r="H46" s="8" t="str">
        <f>IF(G42="Gas","MJ/yr","kWh/yr")</f>
        <v>kWh/yr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2642-E153-4AED-9FB0-35F180787D0A}">
  <dimension ref="B3:H44"/>
  <sheetViews>
    <sheetView workbookViewId="0"/>
  </sheetViews>
  <sheetFormatPr defaultRowHeight="14.4" x14ac:dyDescent="0.3"/>
  <cols>
    <col min="2" max="2" width="35.33203125" bestFit="1" customWidth="1"/>
    <col min="3" max="3" width="12.44140625" bestFit="1" customWidth="1"/>
    <col min="6" max="6" width="32.88671875" bestFit="1" customWidth="1"/>
    <col min="7" max="7" width="12.44140625" bestFit="1" customWidth="1"/>
  </cols>
  <sheetData>
    <row r="3" spans="2:8" ht="27" x14ac:dyDescent="0.3">
      <c r="B3" s="5" t="s">
        <v>167</v>
      </c>
      <c r="C3" s="6" t="s">
        <v>47</v>
      </c>
      <c r="D3" s="6" t="s">
        <v>48</v>
      </c>
      <c r="G3" s="6" t="s">
        <v>47</v>
      </c>
      <c r="H3" s="6" t="s">
        <v>48</v>
      </c>
    </row>
    <row r="4" spans="2:8" x14ac:dyDescent="0.3">
      <c r="B4" s="6" t="s">
        <v>49</v>
      </c>
      <c r="C4" s="10">
        <f>'Inputs Non-Residential'!I5</f>
        <v>6</v>
      </c>
      <c r="D4" s="6" t="s">
        <v>50</v>
      </c>
      <c r="F4" s="6" t="s">
        <v>42</v>
      </c>
      <c r="G4" s="10">
        <f>'Inputs Non-Residential'!I5</f>
        <v>6</v>
      </c>
      <c r="H4" s="6" t="s">
        <v>50</v>
      </c>
    </row>
    <row r="5" spans="2:8" x14ac:dyDescent="0.3">
      <c r="B5" s="6" t="s">
        <v>51</v>
      </c>
      <c r="C5" s="10">
        <f>VLOOKUP(C4,Table12[#All],3,FALSE)</f>
        <v>16.7</v>
      </c>
      <c r="D5" s="6" t="s">
        <v>103</v>
      </c>
      <c r="F5" s="6" t="s">
        <v>51</v>
      </c>
      <c r="G5" s="10">
        <f>VLOOKUP(C4,Table12[#All],3,FALSE)*(1-('Inputs Non-Residential'!I23/100))</f>
        <v>16.7</v>
      </c>
      <c r="H5" s="6" t="s">
        <v>103</v>
      </c>
    </row>
    <row r="7" spans="2:8" x14ac:dyDescent="0.3">
      <c r="B7" s="6" t="s">
        <v>53</v>
      </c>
      <c r="C7" s="12">
        <v>3.1</v>
      </c>
      <c r="D7" s="6" t="s">
        <v>8</v>
      </c>
      <c r="F7" s="6" t="s">
        <v>84</v>
      </c>
      <c r="G7" s="11">
        <f>'Inputs Non-Residential'!I25</f>
        <v>3.4</v>
      </c>
      <c r="H7" s="6" t="s">
        <v>8</v>
      </c>
    </row>
    <row r="9" spans="2:8" x14ac:dyDescent="0.3">
      <c r="B9" s="7" t="s">
        <v>54</v>
      </c>
      <c r="C9" s="13">
        <f>IF(SUM('Inputs Non-Residential'!I32:I33)=0,(C5*'Inputs Non-Residential'!D7)/C7,(('Inputs Non-Residential'!I32+'Inputs Non-Residential'!I33)*'Inputs Non-Residential'!D7))</f>
        <v>0</v>
      </c>
      <c r="D9" s="7" t="s">
        <v>52</v>
      </c>
      <c r="E9" s="8"/>
      <c r="F9" s="7" t="s">
        <v>55</v>
      </c>
      <c r="G9" s="13">
        <f>IF(SUM('Inputs Non-Residential'!I39:I40)=0,(G5*'Inputs Non-Residential'!D7)/G7,(('Inputs Non-Residential'!I39+'Inputs Non-Residential'!I40)*'Inputs Non-Residential'!D7))</f>
        <v>0</v>
      </c>
      <c r="H9" s="7" t="s">
        <v>52</v>
      </c>
    </row>
    <row r="11" spans="2:8" ht="27" x14ac:dyDescent="0.3">
      <c r="B11" s="5" t="s">
        <v>169</v>
      </c>
      <c r="C11" s="6" t="s">
        <v>47</v>
      </c>
      <c r="D11" s="6" t="s">
        <v>48</v>
      </c>
      <c r="G11" s="6" t="s">
        <v>47</v>
      </c>
      <c r="H11" s="6" t="s">
        <v>48</v>
      </c>
    </row>
    <row r="12" spans="2:8" x14ac:dyDescent="0.3">
      <c r="B12" s="6" t="s">
        <v>49</v>
      </c>
      <c r="C12" s="10">
        <f>'Inputs Non-Residential'!I5</f>
        <v>6</v>
      </c>
      <c r="D12" s="6" t="s">
        <v>50</v>
      </c>
      <c r="F12" s="6" t="s">
        <v>42</v>
      </c>
      <c r="G12" s="10">
        <f>'Inputs Non-Residential'!I5</f>
        <v>6</v>
      </c>
      <c r="H12" s="6" t="s">
        <v>50</v>
      </c>
    </row>
    <row r="13" spans="2:8" x14ac:dyDescent="0.3">
      <c r="B13" s="6" t="s">
        <v>51</v>
      </c>
      <c r="C13" s="10">
        <f>SUM('Inputs Non-Residential'!I34:I35)</f>
        <v>0</v>
      </c>
      <c r="D13" s="6" t="s">
        <v>34</v>
      </c>
      <c r="F13" s="6" t="s">
        <v>51</v>
      </c>
      <c r="G13" s="10">
        <f>SUM('Inputs Non-Residential'!I41:I42)</f>
        <v>0</v>
      </c>
      <c r="H13" s="6" t="s">
        <v>34</v>
      </c>
    </row>
    <row r="15" spans="2:8" x14ac:dyDescent="0.3">
      <c r="B15" s="6" t="s">
        <v>53</v>
      </c>
      <c r="C15" s="12">
        <v>3.1</v>
      </c>
      <c r="D15" s="6" t="s">
        <v>8</v>
      </c>
      <c r="F15" s="6" t="s">
        <v>84</v>
      </c>
      <c r="G15" s="11">
        <f>'Inputs Non-Residential'!I25</f>
        <v>3.4</v>
      </c>
      <c r="H15" s="6" t="s">
        <v>8</v>
      </c>
    </row>
    <row r="17" spans="2:8" x14ac:dyDescent="0.3">
      <c r="B17" s="7" t="s">
        <v>54</v>
      </c>
      <c r="C17" s="13">
        <f>SUM('Inputs Non-Residential'!I34:I35)*'Inputs Non-Residential'!D7</f>
        <v>0</v>
      </c>
      <c r="D17" s="7" t="s">
        <v>168</v>
      </c>
      <c r="E17" s="8"/>
      <c r="F17" s="7" t="s">
        <v>55</v>
      </c>
      <c r="G17" s="13">
        <f>SUM('Inputs Non-Residential'!I41:I42)*'Inputs Non-Residential'!D7</f>
        <v>0</v>
      </c>
      <c r="H17" s="7" t="s">
        <v>168</v>
      </c>
    </row>
    <row r="19" spans="2:8" x14ac:dyDescent="0.3">
      <c r="B19" s="1" t="s">
        <v>150</v>
      </c>
      <c r="C19" s="6"/>
      <c r="D19" s="6"/>
      <c r="G19" s="6"/>
      <c r="H19" s="6"/>
    </row>
    <row r="20" spans="2:8" x14ac:dyDescent="0.3">
      <c r="B20" s="1"/>
      <c r="C20" s="6"/>
      <c r="D20" s="6"/>
      <c r="G20" s="6"/>
      <c r="H20" s="6"/>
    </row>
    <row r="21" spans="2:8" x14ac:dyDescent="0.3">
      <c r="B21" s="7" t="s">
        <v>151</v>
      </c>
      <c r="C21" s="13">
        <f>'Inputs Non-Residential'!I36*'Inputs Non-Residential'!D7</f>
        <v>0</v>
      </c>
      <c r="D21" s="7" t="s">
        <v>52</v>
      </c>
      <c r="E21" s="8"/>
      <c r="F21" s="7" t="s">
        <v>152</v>
      </c>
      <c r="G21" s="13">
        <f>'Inputs Non-Residential'!I43*'Inputs Non-Residential'!D7</f>
        <v>0</v>
      </c>
      <c r="H21" s="7" t="s">
        <v>52</v>
      </c>
    </row>
    <row r="23" spans="2:8" x14ac:dyDescent="0.3">
      <c r="B23" s="5" t="s">
        <v>56</v>
      </c>
      <c r="C23" s="6" t="s">
        <v>47</v>
      </c>
      <c r="D23" s="6" t="s">
        <v>48</v>
      </c>
      <c r="G23" s="6" t="s">
        <v>47</v>
      </c>
      <c r="H23" s="6" t="s">
        <v>48</v>
      </c>
    </row>
    <row r="24" spans="2:8" x14ac:dyDescent="0.3">
      <c r="B24" s="6" t="s">
        <v>86</v>
      </c>
      <c r="C24" s="10">
        <v>11</v>
      </c>
      <c r="D24" s="6" t="s">
        <v>57</v>
      </c>
      <c r="F24" s="6" t="s">
        <v>58</v>
      </c>
      <c r="G24" s="10">
        <v>11</v>
      </c>
      <c r="H24" s="6" t="s">
        <v>57</v>
      </c>
    </row>
    <row r="25" spans="2:8" x14ac:dyDescent="0.3">
      <c r="B25" s="6" t="s">
        <v>59</v>
      </c>
      <c r="C25" s="10">
        <v>8</v>
      </c>
      <c r="D25" s="6" t="s">
        <v>60</v>
      </c>
      <c r="F25" s="6" t="s">
        <v>59</v>
      </c>
      <c r="G25" s="10">
        <v>8</v>
      </c>
      <c r="H25" s="6" t="s">
        <v>60</v>
      </c>
    </row>
    <row r="27" spans="2:8" x14ac:dyDescent="0.3">
      <c r="B27" s="7" t="s">
        <v>61</v>
      </c>
      <c r="C27" s="13">
        <f>(C24/1000)*(C25+((24-C25)*0.25))*(365-104)*'Inputs Non-Residential'!D7</f>
        <v>0</v>
      </c>
      <c r="D27" s="7" t="s">
        <v>52</v>
      </c>
      <c r="E27" s="8"/>
      <c r="F27" s="7" t="s">
        <v>62</v>
      </c>
      <c r="G27" s="13">
        <f>(G24/1000)*(G25+((24-G25)*0.25))*(365-104)*'Inputs Non-Residential'!D7</f>
        <v>0</v>
      </c>
      <c r="H27" s="7" t="s">
        <v>52</v>
      </c>
    </row>
    <row r="29" spans="2:8" x14ac:dyDescent="0.3">
      <c r="B29" s="9" t="s">
        <v>63</v>
      </c>
      <c r="C29" s="6" t="s">
        <v>47</v>
      </c>
      <c r="D29" s="6" t="s">
        <v>48</v>
      </c>
      <c r="G29" s="6" t="s">
        <v>47</v>
      </c>
      <c r="H29" s="6" t="s">
        <v>48</v>
      </c>
    </row>
    <row r="30" spans="2:8" x14ac:dyDescent="0.3">
      <c r="B30" s="6" t="s">
        <v>64</v>
      </c>
      <c r="C30" s="10">
        <v>4.5</v>
      </c>
      <c r="D30" s="6" t="s">
        <v>57</v>
      </c>
      <c r="F30" s="6" t="s">
        <v>65</v>
      </c>
      <c r="G30" s="10">
        <f>C30*(1-('Inputs Non-Residential'!I26/100))</f>
        <v>4.5</v>
      </c>
      <c r="H30" s="6" t="s">
        <v>57</v>
      </c>
    </row>
    <row r="31" spans="2:8" x14ac:dyDescent="0.3">
      <c r="B31" s="6" t="s">
        <v>104</v>
      </c>
      <c r="C31" s="10">
        <v>10</v>
      </c>
      <c r="D31" s="6" t="s">
        <v>60</v>
      </c>
      <c r="F31" s="6" t="s">
        <v>66</v>
      </c>
      <c r="G31" s="10">
        <v>10</v>
      </c>
      <c r="H31" s="6" t="s">
        <v>60</v>
      </c>
    </row>
    <row r="33" spans="2:8" x14ac:dyDescent="0.3">
      <c r="B33" s="7" t="s">
        <v>67</v>
      </c>
      <c r="C33" s="13">
        <f>IF('Inputs Non-Residential'!I37=0,((C30/1000)*C31*'Inputs Non-Residential'!D7*(365-104)),('Inputs Non-Residential'!I37*'Inputs Non-Residential'!D7))</f>
        <v>0</v>
      </c>
      <c r="D33" s="7" t="s">
        <v>52</v>
      </c>
      <c r="E33" s="8"/>
      <c r="F33" s="8" t="s">
        <v>68</v>
      </c>
      <c r="G33" s="13">
        <f>IF('Inputs Non-Residential'!I44=0,((G30/1000)*G31*'Inputs Non-Residential'!D7*(365-104)),('Inputs Non-Residential'!I44*'Inputs Non-Residential'!D7))</f>
        <v>0</v>
      </c>
      <c r="H33" s="7" t="s">
        <v>52</v>
      </c>
    </row>
    <row r="35" spans="2:8" x14ac:dyDescent="0.3">
      <c r="B35" s="9" t="s">
        <v>69</v>
      </c>
      <c r="C35" s="6" t="s">
        <v>47</v>
      </c>
      <c r="D35" s="6" t="s">
        <v>48</v>
      </c>
      <c r="G35" s="6" t="s">
        <v>47</v>
      </c>
      <c r="H35" s="6" t="s">
        <v>48</v>
      </c>
    </row>
    <row r="36" spans="2:8" x14ac:dyDescent="0.3">
      <c r="B36" s="6" t="s">
        <v>70</v>
      </c>
      <c r="C36" s="10">
        <f>'Inputs Non-Residential'!I55*4*(365-104)</f>
        <v>0</v>
      </c>
      <c r="D36" s="6" t="s">
        <v>71</v>
      </c>
      <c r="F36" s="6" t="s">
        <v>72</v>
      </c>
      <c r="G36" s="10">
        <f>C36*(1-('Inputs Non-Residential'!I56/100))</f>
        <v>0</v>
      </c>
      <c r="H36" s="6" t="s">
        <v>71</v>
      </c>
    </row>
    <row r="37" spans="2:8" x14ac:dyDescent="0.3">
      <c r="B37" s="6" t="s">
        <v>73</v>
      </c>
      <c r="C37" s="10">
        <v>15</v>
      </c>
      <c r="D37" s="6" t="s">
        <v>74</v>
      </c>
      <c r="F37" s="6" t="s">
        <v>73</v>
      </c>
      <c r="G37" s="10">
        <v>15</v>
      </c>
      <c r="H37" s="6" t="s">
        <v>74</v>
      </c>
    </row>
    <row r="38" spans="2:8" x14ac:dyDescent="0.3">
      <c r="B38" s="6" t="s">
        <v>75</v>
      </c>
      <c r="C38" s="10">
        <v>60</v>
      </c>
      <c r="D38" s="6" t="s">
        <v>74</v>
      </c>
      <c r="F38" s="6" t="s">
        <v>75</v>
      </c>
      <c r="G38" s="10">
        <v>60</v>
      </c>
      <c r="H38" s="6" t="s">
        <v>74</v>
      </c>
    </row>
    <row r="39" spans="2:8" x14ac:dyDescent="0.3">
      <c r="B39" s="6" t="s">
        <v>76</v>
      </c>
      <c r="C39" s="10">
        <v>4.1859999999999996E-3</v>
      </c>
      <c r="D39" s="6" t="s">
        <v>77</v>
      </c>
      <c r="F39" s="6" t="s">
        <v>76</v>
      </c>
      <c r="G39" s="10">
        <v>4.1859999999999996E-3</v>
      </c>
      <c r="H39" s="6" t="s">
        <v>77</v>
      </c>
    </row>
    <row r="40" spans="2:8" x14ac:dyDescent="0.3">
      <c r="B40" s="6" t="s">
        <v>78</v>
      </c>
      <c r="C40" s="10">
        <f>(C36*C39*(C38-C37))/3.6</f>
        <v>0</v>
      </c>
      <c r="D40" s="6" t="s">
        <v>52</v>
      </c>
      <c r="F40" s="6" t="s">
        <v>79</v>
      </c>
      <c r="G40" s="10">
        <f>(G36*G39*(G38-G37))/3.6</f>
        <v>0</v>
      </c>
      <c r="H40" s="6" t="s">
        <v>52</v>
      </c>
    </row>
    <row r="41" spans="2:8" x14ac:dyDescent="0.3">
      <c r="B41" s="6"/>
      <c r="D41" s="6"/>
      <c r="F41" s="6"/>
      <c r="H41" s="6"/>
    </row>
    <row r="42" spans="2:8" x14ac:dyDescent="0.3">
      <c r="B42" s="6" t="s">
        <v>80</v>
      </c>
      <c r="C42" s="10">
        <v>1</v>
      </c>
      <c r="D42" s="6" t="s">
        <v>8</v>
      </c>
      <c r="F42" t="s">
        <v>81</v>
      </c>
      <c r="G42" s="10">
        <f>'Inputs Non-Residential'!I54</f>
        <v>1</v>
      </c>
      <c r="H42" s="6" t="s">
        <v>8</v>
      </c>
    </row>
    <row r="44" spans="2:8" x14ac:dyDescent="0.3">
      <c r="B44" s="7" t="s">
        <v>82</v>
      </c>
      <c r="C44" s="13">
        <f>C40/C42</f>
        <v>0</v>
      </c>
      <c r="D44" s="7" t="s">
        <v>52</v>
      </c>
      <c r="E44" s="8"/>
      <c r="F44" s="7" t="s">
        <v>83</v>
      </c>
      <c r="G44" s="13">
        <f>G40/G42</f>
        <v>0</v>
      </c>
      <c r="H44" s="7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53BE-9239-41FF-899A-A0552CE0457B}">
  <dimension ref="B3:H52"/>
  <sheetViews>
    <sheetView workbookViewId="0"/>
  </sheetViews>
  <sheetFormatPr defaultRowHeight="14.4" x14ac:dyDescent="0.3"/>
  <cols>
    <col min="2" max="2" width="35.33203125" bestFit="1" customWidth="1"/>
    <col min="3" max="3" width="12.44140625" bestFit="1" customWidth="1"/>
    <col min="6" max="6" width="32.88671875" bestFit="1" customWidth="1"/>
    <col min="7" max="7" width="12.44140625" bestFit="1" customWidth="1"/>
  </cols>
  <sheetData>
    <row r="3" spans="2:8" ht="27" x14ac:dyDescent="0.3">
      <c r="B3" s="5" t="s">
        <v>167</v>
      </c>
      <c r="C3" s="6" t="s">
        <v>47</v>
      </c>
      <c r="D3" s="6" t="s">
        <v>48</v>
      </c>
      <c r="G3" s="6" t="s">
        <v>47</v>
      </c>
      <c r="H3" s="6" t="s">
        <v>48</v>
      </c>
    </row>
    <row r="4" spans="2:8" x14ac:dyDescent="0.3">
      <c r="B4" s="6" t="s">
        <v>49</v>
      </c>
      <c r="C4" s="10">
        <f>'Inputs Non-Residential'!I5</f>
        <v>6</v>
      </c>
      <c r="D4" s="6" t="s">
        <v>50</v>
      </c>
      <c r="F4" s="6" t="s">
        <v>42</v>
      </c>
      <c r="G4" s="10">
        <f>'Inputs Non-Residential'!I5</f>
        <v>6</v>
      </c>
      <c r="H4" s="6" t="s">
        <v>50</v>
      </c>
    </row>
    <row r="5" spans="2:8" x14ac:dyDescent="0.3">
      <c r="B5" s="6" t="s">
        <v>51</v>
      </c>
      <c r="C5" s="103">
        <f>VLOOKUP(C4,Table12[#All],7,FALSE)</f>
        <v>33.538978056701609</v>
      </c>
      <c r="D5" s="6" t="s">
        <v>103</v>
      </c>
      <c r="F5" s="6" t="s">
        <v>51</v>
      </c>
      <c r="G5" s="103">
        <f>VLOOKUP(C4,Table12[#All],7,FALSE)*(1-('Inputs Non-Residential'!M23/100))</f>
        <v>33.538978056701609</v>
      </c>
      <c r="H5" s="6" t="s">
        <v>103</v>
      </c>
    </row>
    <row r="7" spans="2:8" x14ac:dyDescent="0.3">
      <c r="B7" s="6" t="s">
        <v>53</v>
      </c>
      <c r="C7" s="12">
        <v>3.1</v>
      </c>
      <c r="D7" s="6" t="s">
        <v>8</v>
      </c>
      <c r="F7" s="6" t="s">
        <v>84</v>
      </c>
      <c r="G7" s="11">
        <f>'Inputs Non-Residential'!M25</f>
        <v>3.4</v>
      </c>
      <c r="H7" s="6" t="s">
        <v>8</v>
      </c>
    </row>
    <row r="9" spans="2:8" x14ac:dyDescent="0.3">
      <c r="B9" s="7" t="s">
        <v>54</v>
      </c>
      <c r="C9" s="13">
        <f>IF(SUM('Inputs Non-Residential'!M32:M33)=0,(C5*'Inputs Non-Residential'!D8)/C7,(('Inputs Non-Residential'!M32+'Inputs Non-Residential'!M33)*'Inputs Non-Residential'!D8))</f>
        <v>0</v>
      </c>
      <c r="D9" s="7" t="s">
        <v>52</v>
      </c>
      <c r="E9" s="8"/>
      <c r="F9" s="7" t="s">
        <v>55</v>
      </c>
      <c r="G9" s="13">
        <f>IF(SUM('Inputs Non-Residential'!M39:M40)=0,(G5*'Inputs Non-Residential'!D8)/G7,(('Inputs Non-Residential'!M39+'Inputs Non-Residential'!M40)*'Inputs Non-Residential'!D8))</f>
        <v>0</v>
      </c>
      <c r="H9" s="7" t="s">
        <v>52</v>
      </c>
    </row>
    <row r="11" spans="2:8" ht="27" x14ac:dyDescent="0.3">
      <c r="B11" s="5" t="s">
        <v>169</v>
      </c>
      <c r="C11" s="6" t="s">
        <v>47</v>
      </c>
      <c r="D11" s="6" t="s">
        <v>48</v>
      </c>
      <c r="G11" s="6" t="s">
        <v>47</v>
      </c>
      <c r="H11" s="6" t="s">
        <v>48</v>
      </c>
    </row>
    <row r="12" spans="2:8" x14ac:dyDescent="0.3">
      <c r="B12" s="6" t="s">
        <v>49</v>
      </c>
      <c r="C12" s="10">
        <f>'Inputs Non-Residential'!I5</f>
        <v>6</v>
      </c>
      <c r="D12" s="6" t="s">
        <v>50</v>
      </c>
      <c r="F12" s="6" t="s">
        <v>42</v>
      </c>
      <c r="G12" s="10">
        <f>'Inputs Non-Residential'!I5</f>
        <v>6</v>
      </c>
      <c r="H12" s="6" t="s">
        <v>50</v>
      </c>
    </row>
    <row r="13" spans="2:8" x14ac:dyDescent="0.3">
      <c r="B13" s="6" t="s">
        <v>51</v>
      </c>
      <c r="C13" s="10">
        <f>SUM('Inputs Non-Residential'!M34:M35)</f>
        <v>1750</v>
      </c>
      <c r="D13" s="6" t="s">
        <v>34</v>
      </c>
      <c r="F13" s="6" t="s">
        <v>51</v>
      </c>
      <c r="G13" s="10">
        <f>SUM('Inputs Non-Residential'!M41:M42)</f>
        <v>650</v>
      </c>
      <c r="H13" s="6" t="s">
        <v>34</v>
      </c>
    </row>
    <row r="15" spans="2:8" x14ac:dyDescent="0.3">
      <c r="B15" s="6" t="s">
        <v>53</v>
      </c>
      <c r="C15" s="12">
        <v>3.1</v>
      </c>
      <c r="D15" s="6" t="s">
        <v>8</v>
      </c>
      <c r="F15" s="6" t="s">
        <v>84</v>
      </c>
      <c r="G15" s="11">
        <f>'Inputs Non-Residential'!M25</f>
        <v>3.4</v>
      </c>
      <c r="H15" s="6" t="s">
        <v>8</v>
      </c>
    </row>
    <row r="17" spans="2:8" x14ac:dyDescent="0.3">
      <c r="B17" s="7" t="s">
        <v>54</v>
      </c>
      <c r="C17" s="13">
        <f>SUM('Inputs Non-Residential'!M34:M35)*'Inputs Non-Residential'!D8</f>
        <v>0</v>
      </c>
      <c r="D17" s="7" t="s">
        <v>168</v>
      </c>
      <c r="E17" s="8"/>
      <c r="F17" s="7" t="s">
        <v>55</v>
      </c>
      <c r="G17" s="13">
        <f>SUM('Inputs Non-Residential'!M41:M42)*'Inputs Non-Residential'!D8</f>
        <v>0</v>
      </c>
      <c r="H17" s="7" t="s">
        <v>168</v>
      </c>
    </row>
    <row r="19" spans="2:8" x14ac:dyDescent="0.3">
      <c r="B19" s="1" t="s">
        <v>150</v>
      </c>
      <c r="C19" s="6"/>
      <c r="D19" s="6"/>
      <c r="G19" s="6"/>
      <c r="H19" s="6"/>
    </row>
    <row r="20" spans="2:8" x14ac:dyDescent="0.3">
      <c r="B20" s="1"/>
      <c r="C20" s="6"/>
      <c r="D20" s="6"/>
      <c r="G20" s="6"/>
      <c r="H20" s="6"/>
    </row>
    <row r="21" spans="2:8" x14ac:dyDescent="0.3">
      <c r="B21" s="7" t="s">
        <v>151</v>
      </c>
      <c r="C21" s="13">
        <f>'Inputs Non-Residential'!M36*'Inputs Non-Residential'!D8</f>
        <v>0</v>
      </c>
      <c r="D21" s="7" t="s">
        <v>52</v>
      </c>
      <c r="E21" s="8"/>
      <c r="F21" s="7" t="s">
        <v>152</v>
      </c>
      <c r="G21" s="13">
        <f>'Inputs Non-Residential'!M43*'Inputs Non-Residential'!D8</f>
        <v>0</v>
      </c>
      <c r="H21" s="7" t="s">
        <v>52</v>
      </c>
    </row>
    <row r="23" spans="2:8" x14ac:dyDescent="0.3">
      <c r="B23" s="5" t="s">
        <v>56</v>
      </c>
      <c r="C23" s="6" t="s">
        <v>47</v>
      </c>
      <c r="D23" s="6" t="s">
        <v>48</v>
      </c>
      <c r="G23" s="6" t="s">
        <v>47</v>
      </c>
      <c r="H23" s="6" t="s">
        <v>48</v>
      </c>
    </row>
    <row r="24" spans="2:8" x14ac:dyDescent="0.3">
      <c r="B24" s="6" t="s">
        <v>86</v>
      </c>
      <c r="C24" s="10">
        <v>5</v>
      </c>
      <c r="D24" s="6" t="s">
        <v>57</v>
      </c>
      <c r="F24" s="6" t="s">
        <v>58</v>
      </c>
      <c r="G24" s="10">
        <v>5</v>
      </c>
      <c r="H24" s="6" t="s">
        <v>57</v>
      </c>
    </row>
    <row r="25" spans="2:8" x14ac:dyDescent="0.3">
      <c r="B25" s="6" t="s">
        <v>59</v>
      </c>
      <c r="C25" s="10">
        <v>8</v>
      </c>
      <c r="D25" s="6" t="s">
        <v>60</v>
      </c>
      <c r="F25" s="6" t="s">
        <v>59</v>
      </c>
      <c r="G25" s="10">
        <v>8</v>
      </c>
      <c r="H25" s="6" t="s">
        <v>60</v>
      </c>
    </row>
    <row r="27" spans="2:8" x14ac:dyDescent="0.3">
      <c r="B27" s="7" t="s">
        <v>61</v>
      </c>
      <c r="C27" s="13">
        <f>(C24/1000)*C25*'Inputs Non-Residential'!D8*365</f>
        <v>0</v>
      </c>
      <c r="D27" s="7" t="s">
        <v>52</v>
      </c>
      <c r="E27" s="8"/>
      <c r="F27" s="7" t="s">
        <v>62</v>
      </c>
      <c r="G27" s="13">
        <f>(G24/1000)*G25*'Inputs Non-Residential'!D8*365</f>
        <v>0</v>
      </c>
      <c r="H27" s="7" t="s">
        <v>52</v>
      </c>
    </row>
    <row r="29" spans="2:8" x14ac:dyDescent="0.3">
      <c r="B29" s="9" t="s">
        <v>63</v>
      </c>
      <c r="C29" s="6" t="s">
        <v>47</v>
      </c>
      <c r="D29" s="6" t="s">
        <v>48</v>
      </c>
      <c r="G29" s="6" t="s">
        <v>47</v>
      </c>
      <c r="H29" s="6" t="s">
        <v>48</v>
      </c>
    </row>
    <row r="30" spans="2:8" x14ac:dyDescent="0.3">
      <c r="B30" s="6" t="s">
        <v>64</v>
      </c>
      <c r="C30" s="10">
        <v>4.5</v>
      </c>
      <c r="D30" s="6" t="s">
        <v>57</v>
      </c>
      <c r="F30" s="6" t="s">
        <v>65</v>
      </c>
      <c r="G30" s="10">
        <f>C30*(1-('Inputs Non-Residential'!M26/100))</f>
        <v>4.5</v>
      </c>
      <c r="H30" s="6" t="s">
        <v>57</v>
      </c>
    </row>
    <row r="31" spans="2:8" x14ac:dyDescent="0.3">
      <c r="B31" s="6" t="s">
        <v>104</v>
      </c>
      <c r="C31" s="10">
        <v>10</v>
      </c>
      <c r="D31" s="6" t="s">
        <v>60</v>
      </c>
      <c r="F31" s="6" t="s">
        <v>66</v>
      </c>
      <c r="G31" s="10">
        <v>10</v>
      </c>
      <c r="H31" s="6" t="s">
        <v>60</v>
      </c>
    </row>
    <row r="33" spans="2:8" x14ac:dyDescent="0.3">
      <c r="B33" s="7" t="s">
        <v>67</v>
      </c>
      <c r="C33" s="13">
        <f>IF('Inputs Non-Residential'!M37=0,((C30/1000)*C31*'Inputs Non-Residential'!D8*365),('Inputs Non-Residential'!M37*'Inputs Non-Residential'!D8))</f>
        <v>0</v>
      </c>
      <c r="D33" s="7" t="s">
        <v>52</v>
      </c>
      <c r="E33" s="8"/>
      <c r="F33" s="8" t="s">
        <v>68</v>
      </c>
      <c r="G33" s="13">
        <f>IF('Inputs Non-Residential'!M44=0,((G30/1000)*G31*'Inputs Non-Residential'!D8*365),('Inputs Non-Residential'!M44*'Inputs Non-Residential'!D8))</f>
        <v>0</v>
      </c>
      <c r="H33" s="7" t="s">
        <v>52</v>
      </c>
    </row>
    <row r="35" spans="2:8" x14ac:dyDescent="0.3">
      <c r="B35" s="9" t="s">
        <v>69</v>
      </c>
      <c r="C35" s="6" t="s">
        <v>47</v>
      </c>
      <c r="D35" s="6" t="s">
        <v>48</v>
      </c>
      <c r="G35" s="6" t="s">
        <v>47</v>
      </c>
      <c r="H35" s="6" t="s">
        <v>48</v>
      </c>
    </row>
    <row r="36" spans="2:8" x14ac:dyDescent="0.3">
      <c r="B36" s="6" t="s">
        <v>70</v>
      </c>
      <c r="C36" s="10">
        <f>'Inputs Non-Residential'!M55*60*365</f>
        <v>0</v>
      </c>
      <c r="D36" s="6" t="s">
        <v>71</v>
      </c>
      <c r="F36" s="6" t="s">
        <v>72</v>
      </c>
      <c r="G36" s="10">
        <f>C36*(1-('Inputs Non-Residential'!M56/100))</f>
        <v>0</v>
      </c>
      <c r="H36" s="6" t="s">
        <v>71</v>
      </c>
    </row>
    <row r="37" spans="2:8" x14ac:dyDescent="0.3">
      <c r="B37" s="6" t="s">
        <v>73</v>
      </c>
      <c r="C37" s="10">
        <v>15</v>
      </c>
      <c r="D37" s="6" t="s">
        <v>74</v>
      </c>
      <c r="F37" s="6" t="s">
        <v>73</v>
      </c>
      <c r="G37" s="10">
        <v>15</v>
      </c>
      <c r="H37" s="6" t="s">
        <v>74</v>
      </c>
    </row>
    <row r="38" spans="2:8" x14ac:dyDescent="0.3">
      <c r="B38" s="6" t="s">
        <v>75</v>
      </c>
      <c r="C38" s="10">
        <v>60</v>
      </c>
      <c r="D38" s="6" t="s">
        <v>74</v>
      </c>
      <c r="F38" s="6" t="s">
        <v>75</v>
      </c>
      <c r="G38" s="10">
        <v>60</v>
      </c>
      <c r="H38" s="6" t="s">
        <v>74</v>
      </c>
    </row>
    <row r="39" spans="2:8" x14ac:dyDescent="0.3">
      <c r="B39" s="6" t="s">
        <v>76</v>
      </c>
      <c r="C39" s="10">
        <v>4.1859999999999996E-3</v>
      </c>
      <c r="D39" s="6" t="s">
        <v>77</v>
      </c>
      <c r="F39" s="6" t="s">
        <v>76</v>
      </c>
      <c r="G39" s="10">
        <v>4.1859999999999996E-3</v>
      </c>
      <c r="H39" s="6" t="s">
        <v>77</v>
      </c>
    </row>
    <row r="40" spans="2:8" x14ac:dyDescent="0.3">
      <c r="B40" s="6" t="s">
        <v>78</v>
      </c>
      <c r="C40" s="10">
        <f>(C36*C39*(C38-C37))/3.6</f>
        <v>0</v>
      </c>
      <c r="D40" s="6" t="s">
        <v>52</v>
      </c>
      <c r="F40" s="6" t="s">
        <v>79</v>
      </c>
      <c r="G40" s="10">
        <f>(G36*G39*(G38-G37))/3.6</f>
        <v>0</v>
      </c>
      <c r="H40" s="6" t="s">
        <v>52</v>
      </c>
    </row>
    <row r="41" spans="2:8" x14ac:dyDescent="0.3">
      <c r="B41" s="6"/>
      <c r="D41" s="6"/>
      <c r="F41" s="6"/>
      <c r="H41" s="6"/>
    </row>
    <row r="42" spans="2:8" x14ac:dyDescent="0.3">
      <c r="B42" s="6" t="s">
        <v>80</v>
      </c>
      <c r="C42" s="10">
        <v>1</v>
      </c>
      <c r="D42" s="6" t="s">
        <v>8</v>
      </c>
      <c r="F42" t="s">
        <v>81</v>
      </c>
      <c r="G42" s="10">
        <f>'Inputs Non-Residential'!M54</f>
        <v>1</v>
      </c>
      <c r="H42" s="6" t="s">
        <v>8</v>
      </c>
    </row>
    <row r="44" spans="2:8" x14ac:dyDescent="0.3">
      <c r="B44" s="7" t="s">
        <v>82</v>
      </c>
      <c r="C44" s="13">
        <f>C40/C42</f>
        <v>0</v>
      </c>
      <c r="D44" s="7" t="s">
        <v>52</v>
      </c>
      <c r="E44" s="8"/>
      <c r="F44" s="7" t="s">
        <v>83</v>
      </c>
      <c r="G44" s="13">
        <f>G40/G42</f>
        <v>0</v>
      </c>
      <c r="H44" s="7" t="s">
        <v>52</v>
      </c>
    </row>
    <row r="46" spans="2:8" x14ac:dyDescent="0.3">
      <c r="B46" s="9" t="s">
        <v>85</v>
      </c>
      <c r="C46" t="s">
        <v>47</v>
      </c>
      <c r="D46" t="s">
        <v>48</v>
      </c>
      <c r="F46" s="9" t="s">
        <v>85</v>
      </c>
      <c r="G46" t="s">
        <v>47</v>
      </c>
      <c r="H46" t="s">
        <v>48</v>
      </c>
    </row>
    <row r="47" spans="2:8" x14ac:dyDescent="0.3">
      <c r="B47" s="6" t="s">
        <v>194</v>
      </c>
      <c r="C47" t="s">
        <v>31</v>
      </c>
      <c r="F47" s="6" t="s">
        <v>194</v>
      </c>
      <c r="G47" t="str">
        <f>'Inputs Non-Residential'!M27</f>
        <v>None</v>
      </c>
    </row>
    <row r="48" spans="2:8" x14ac:dyDescent="0.3">
      <c r="B48" s="6" t="s">
        <v>156</v>
      </c>
      <c r="C48" t="s">
        <v>31</v>
      </c>
      <c r="F48" s="6" t="s">
        <v>156</v>
      </c>
      <c r="G48" t="str">
        <f>IF('Inputs Non-Residential'!M27="Gas","Gas","Electric")</f>
        <v>Electric</v>
      </c>
    </row>
    <row r="49" spans="2:8" x14ac:dyDescent="0.3">
      <c r="B49" t="s">
        <v>88</v>
      </c>
      <c r="C49" s="10">
        <f>'Drop down'!C19</f>
        <v>6</v>
      </c>
      <c r="D49" t="s">
        <v>38</v>
      </c>
      <c r="F49" t="s">
        <v>88</v>
      </c>
      <c r="G49" s="10">
        <f>VLOOKUP(G47,Table10[#All],3,FALSE)</f>
        <v>0</v>
      </c>
      <c r="H49" t="str">
        <f>VLOOKUP(G47,Table10[#All],4,FALSE)</f>
        <v>kW/h</v>
      </c>
    </row>
    <row r="50" spans="2:8" x14ac:dyDescent="0.3">
      <c r="B50" t="s">
        <v>59</v>
      </c>
      <c r="C50" s="10">
        <v>1.5</v>
      </c>
      <c r="D50" t="s">
        <v>89</v>
      </c>
      <c r="F50" t="s">
        <v>59</v>
      </c>
      <c r="G50" s="10">
        <v>1.5</v>
      </c>
      <c r="H50" t="s">
        <v>89</v>
      </c>
    </row>
    <row r="52" spans="2:8" x14ac:dyDescent="0.3">
      <c r="B52" s="8" t="s">
        <v>90</v>
      </c>
      <c r="C52" s="13">
        <f>IF('Inputs Non-Residential'!M27="None",0,(C49*C50*365*'Inputs Non-Residential'!G8))</f>
        <v>0</v>
      </c>
      <c r="D52" s="8" t="s">
        <v>168</v>
      </c>
      <c r="E52" s="8"/>
      <c r="F52" s="8" t="s">
        <v>90</v>
      </c>
      <c r="G52" s="13">
        <f>G49*G50*365*'Inputs Non-Residential'!G8</f>
        <v>0</v>
      </c>
      <c r="H52" s="8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92FB-29DF-4106-A631-AA1EE482C5A5}">
  <dimension ref="B3:H44"/>
  <sheetViews>
    <sheetView workbookViewId="0"/>
  </sheetViews>
  <sheetFormatPr defaultRowHeight="14.4" x14ac:dyDescent="0.3"/>
  <cols>
    <col min="2" max="2" width="35.33203125" bestFit="1" customWidth="1"/>
    <col min="3" max="3" width="12.44140625" bestFit="1" customWidth="1"/>
    <col min="6" max="6" width="32.88671875" bestFit="1" customWidth="1"/>
    <col min="7" max="7" width="12.44140625" bestFit="1" customWidth="1"/>
  </cols>
  <sheetData>
    <row r="3" spans="2:8" ht="27" x14ac:dyDescent="0.3">
      <c r="B3" s="5" t="s">
        <v>167</v>
      </c>
      <c r="C3" s="6" t="s">
        <v>47</v>
      </c>
      <c r="D3" s="6" t="s">
        <v>48</v>
      </c>
      <c r="G3" s="6" t="s">
        <v>47</v>
      </c>
      <c r="H3" s="6" t="s">
        <v>48</v>
      </c>
    </row>
    <row r="4" spans="2:8" x14ac:dyDescent="0.3">
      <c r="B4" s="6" t="s">
        <v>49</v>
      </c>
      <c r="C4" s="10">
        <f>'Inputs Non-Residential'!I5</f>
        <v>6</v>
      </c>
      <c r="D4" s="6" t="s">
        <v>50</v>
      </c>
      <c r="F4" s="6" t="s">
        <v>42</v>
      </c>
      <c r="G4" s="10">
        <f>'Inputs Non-Residential'!I5</f>
        <v>6</v>
      </c>
      <c r="H4" s="6" t="s">
        <v>50</v>
      </c>
    </row>
    <row r="5" spans="2:8" x14ac:dyDescent="0.3">
      <c r="B5" s="6" t="s">
        <v>51</v>
      </c>
      <c r="C5" s="103">
        <f>VLOOKUP(C4,Table12[#All],6,FALSE)</f>
        <v>11.504648556768091</v>
      </c>
      <c r="D5" s="6" t="s">
        <v>103</v>
      </c>
      <c r="F5" s="6" t="s">
        <v>51</v>
      </c>
      <c r="G5" s="10">
        <f>VLOOKUP(C4,Table12[#All],6,FALSE)*(1-('Inputs Non-Residential'!Q23/100))</f>
        <v>11.504648556768091</v>
      </c>
      <c r="H5" s="6" t="s">
        <v>103</v>
      </c>
    </row>
    <row r="7" spans="2:8" x14ac:dyDescent="0.3">
      <c r="B7" s="6" t="s">
        <v>53</v>
      </c>
      <c r="C7" s="12">
        <v>3.1</v>
      </c>
      <c r="D7" s="6" t="s">
        <v>8</v>
      </c>
      <c r="F7" s="6" t="s">
        <v>84</v>
      </c>
      <c r="G7" s="11">
        <f>'Inputs Non-Residential'!Q25</f>
        <v>3.4</v>
      </c>
      <c r="H7" s="6" t="s">
        <v>8</v>
      </c>
    </row>
    <row r="9" spans="2:8" x14ac:dyDescent="0.3">
      <c r="B9" s="7" t="s">
        <v>54</v>
      </c>
      <c r="C9" s="13">
        <f>IF(SUM('Inputs Non-Residential'!Q32:Q33)=0,(C5*'Inputs Non-Residential'!D9)/C7,(('Inputs Non-Residential'!Q32+'Inputs Non-Residential'!Q33)*'Inputs Non-Residential'!D9))</f>
        <v>0</v>
      </c>
      <c r="D9" s="7" t="s">
        <v>52</v>
      </c>
      <c r="E9" s="8"/>
      <c r="F9" s="7" t="s">
        <v>55</v>
      </c>
      <c r="G9" s="13">
        <f>IF(SUM('Inputs Non-Residential'!Q39:Q40)=0,(G5*'Inputs Non-Residential'!D9)/G7,(('Inputs Non-Residential'!Q39+'Inputs Non-Residential'!Q40)*'Inputs Non-Residential'!D9))</f>
        <v>0</v>
      </c>
      <c r="H9" s="7" t="s">
        <v>52</v>
      </c>
    </row>
    <row r="11" spans="2:8" ht="27" x14ac:dyDescent="0.3">
      <c r="B11" s="5" t="s">
        <v>169</v>
      </c>
      <c r="C11" s="6" t="s">
        <v>47</v>
      </c>
      <c r="D11" s="6" t="s">
        <v>48</v>
      </c>
      <c r="G11" s="6" t="s">
        <v>47</v>
      </c>
      <c r="H11" s="6" t="s">
        <v>48</v>
      </c>
    </row>
    <row r="12" spans="2:8" x14ac:dyDescent="0.3">
      <c r="B12" s="6" t="s">
        <v>49</v>
      </c>
      <c r="C12" s="10">
        <f>'Inputs Non-Residential'!I5</f>
        <v>6</v>
      </c>
      <c r="D12" s="6" t="s">
        <v>50</v>
      </c>
      <c r="F12" s="6" t="s">
        <v>42</v>
      </c>
      <c r="G12" s="10">
        <f>'Inputs Non-Residential'!I5</f>
        <v>6</v>
      </c>
      <c r="H12" s="6" t="s">
        <v>50</v>
      </c>
    </row>
    <row r="13" spans="2:8" x14ac:dyDescent="0.3">
      <c r="B13" s="6" t="s">
        <v>51</v>
      </c>
      <c r="C13" s="10">
        <f>SUM('Inputs Non-Residential'!Q34:Q35)</f>
        <v>0</v>
      </c>
      <c r="D13" s="6" t="s">
        <v>34</v>
      </c>
      <c r="F13" s="6" t="s">
        <v>51</v>
      </c>
      <c r="G13" s="10">
        <f>SUM('Inputs Non-Residential'!Q41:Q42)</f>
        <v>0</v>
      </c>
      <c r="H13" s="6" t="s">
        <v>34</v>
      </c>
    </row>
    <row r="15" spans="2:8" x14ac:dyDescent="0.3">
      <c r="B15" s="6" t="s">
        <v>53</v>
      </c>
      <c r="C15" s="12">
        <v>3.1</v>
      </c>
      <c r="D15" s="6" t="s">
        <v>8</v>
      </c>
      <c r="F15" s="6" t="s">
        <v>84</v>
      </c>
      <c r="G15" s="11">
        <f>'Inputs Non-Residential'!Q25</f>
        <v>3.4</v>
      </c>
      <c r="H15" s="6" t="s">
        <v>8</v>
      </c>
    </row>
    <row r="17" spans="2:8" x14ac:dyDescent="0.3">
      <c r="B17" s="7" t="s">
        <v>54</v>
      </c>
      <c r="C17" s="13">
        <f>SUM('Inputs Non-Residential'!Q34:Q35)*'Inputs Non-Residential'!D9</f>
        <v>0</v>
      </c>
      <c r="D17" s="7" t="s">
        <v>168</v>
      </c>
      <c r="E17" s="8"/>
      <c r="F17" s="7" t="s">
        <v>55</v>
      </c>
      <c r="G17" s="13">
        <f>SUM('Inputs Non-Residential'!Q41:Q42)*'Inputs Non-Residential'!D9</f>
        <v>0</v>
      </c>
      <c r="H17" s="7" t="s">
        <v>168</v>
      </c>
    </row>
    <row r="19" spans="2:8" x14ac:dyDescent="0.3">
      <c r="B19" s="1" t="s">
        <v>150</v>
      </c>
      <c r="C19" s="6"/>
      <c r="D19" s="6"/>
      <c r="G19" s="6"/>
      <c r="H19" s="6"/>
    </row>
    <row r="20" spans="2:8" x14ac:dyDescent="0.3">
      <c r="B20" s="1"/>
      <c r="C20" s="6"/>
      <c r="D20" s="6"/>
      <c r="G20" s="6"/>
      <c r="H20" s="6"/>
    </row>
    <row r="21" spans="2:8" x14ac:dyDescent="0.3">
      <c r="B21" s="7" t="s">
        <v>151</v>
      </c>
      <c r="C21" s="13">
        <f>'Inputs Non-Residential'!Q36*'Inputs Non-Residential'!D9</f>
        <v>0</v>
      </c>
      <c r="D21" s="7" t="s">
        <v>52</v>
      </c>
      <c r="E21" s="8"/>
      <c r="F21" s="7" t="s">
        <v>152</v>
      </c>
      <c r="G21" s="13">
        <f>'Inputs Non-Residential'!Q43*'Inputs Non-Residential'!D9</f>
        <v>0</v>
      </c>
      <c r="H21" s="7" t="s">
        <v>52</v>
      </c>
    </row>
    <row r="23" spans="2:8" x14ac:dyDescent="0.3">
      <c r="B23" s="5" t="s">
        <v>56</v>
      </c>
      <c r="C23" s="6" t="s">
        <v>47</v>
      </c>
      <c r="D23" s="6" t="s">
        <v>48</v>
      </c>
      <c r="G23" s="6" t="s">
        <v>47</v>
      </c>
      <c r="H23" s="6" t="s">
        <v>48</v>
      </c>
    </row>
    <row r="24" spans="2:8" x14ac:dyDescent="0.3">
      <c r="B24" s="6" t="s">
        <v>86</v>
      </c>
      <c r="C24" s="10">
        <v>11</v>
      </c>
      <c r="D24" s="6" t="s">
        <v>57</v>
      </c>
      <c r="F24" s="6" t="s">
        <v>58</v>
      </c>
      <c r="G24" s="10">
        <v>11</v>
      </c>
      <c r="H24" s="6" t="s">
        <v>57</v>
      </c>
    </row>
    <row r="25" spans="2:8" x14ac:dyDescent="0.3">
      <c r="B25" s="6" t="s">
        <v>59</v>
      </c>
      <c r="C25" s="10">
        <v>8</v>
      </c>
      <c r="D25" s="6" t="s">
        <v>60</v>
      </c>
      <c r="F25" s="6" t="s">
        <v>59</v>
      </c>
      <c r="G25" s="10">
        <v>8</v>
      </c>
      <c r="H25" s="6" t="s">
        <v>60</v>
      </c>
    </row>
    <row r="27" spans="2:8" x14ac:dyDescent="0.3">
      <c r="B27" s="7" t="s">
        <v>61</v>
      </c>
      <c r="C27" s="13">
        <f>(C24/1000)*(C25+((24-C25)*0.25))*(365-104)*'Inputs Non-Residential'!D9</f>
        <v>0</v>
      </c>
      <c r="D27" s="7" t="s">
        <v>52</v>
      </c>
      <c r="E27" s="8"/>
      <c r="F27" s="7" t="s">
        <v>62</v>
      </c>
      <c r="G27" s="13">
        <f>(G24/1000)*(G25+((24-G25)*0.25))*(365-104)*'Inputs Non-Residential'!D9</f>
        <v>0</v>
      </c>
      <c r="H27" s="7" t="s">
        <v>52</v>
      </c>
    </row>
    <row r="29" spans="2:8" x14ac:dyDescent="0.3">
      <c r="B29" s="9" t="s">
        <v>63</v>
      </c>
      <c r="C29" s="6" t="s">
        <v>47</v>
      </c>
      <c r="D29" s="6" t="s">
        <v>48</v>
      </c>
      <c r="G29" s="6" t="s">
        <v>47</v>
      </c>
      <c r="H29" s="6" t="s">
        <v>48</v>
      </c>
    </row>
    <row r="30" spans="2:8" x14ac:dyDescent="0.3">
      <c r="B30" s="6" t="s">
        <v>64</v>
      </c>
      <c r="C30" s="10">
        <v>4.5</v>
      </c>
      <c r="D30" s="6" t="s">
        <v>57</v>
      </c>
      <c r="F30" s="6" t="s">
        <v>65</v>
      </c>
      <c r="G30" s="10">
        <f>C30*(1-('Inputs Non-Residential'!Q26/100))</f>
        <v>4.5</v>
      </c>
      <c r="H30" s="6" t="s">
        <v>57</v>
      </c>
    </row>
    <row r="31" spans="2:8" x14ac:dyDescent="0.3">
      <c r="B31" s="6" t="s">
        <v>104</v>
      </c>
      <c r="C31" s="10">
        <v>10</v>
      </c>
      <c r="D31" s="6" t="s">
        <v>60</v>
      </c>
      <c r="F31" s="6" t="s">
        <v>66</v>
      </c>
      <c r="G31" s="10">
        <v>10</v>
      </c>
      <c r="H31" s="6" t="s">
        <v>60</v>
      </c>
    </row>
    <row r="33" spans="2:8" x14ac:dyDescent="0.3">
      <c r="B33" s="7" t="s">
        <v>67</v>
      </c>
      <c r="C33" s="13">
        <f>IF('Inputs Non-Residential'!Q37=0,((C30/1000)*C31*'Inputs Non-Residential'!D9*(365-104)),('Inputs Non-Residential'!Q37*'Inputs Non-Residential'!D9))</f>
        <v>0</v>
      </c>
      <c r="D33" s="7" t="s">
        <v>52</v>
      </c>
      <c r="E33" s="8"/>
      <c r="F33" s="8" t="s">
        <v>68</v>
      </c>
      <c r="G33" s="13">
        <f>IF('Inputs Non-Residential'!Q44=0,((G30/1000)*G31*'Inputs Non-Residential'!D9*(365-104)),('Inputs Non-Residential'!Q44*'Inputs Non-Residential'!D9))</f>
        <v>0</v>
      </c>
      <c r="H33" s="7" t="s">
        <v>52</v>
      </c>
    </row>
    <row r="35" spans="2:8" x14ac:dyDescent="0.3">
      <c r="B35" s="9" t="s">
        <v>69</v>
      </c>
      <c r="C35" s="6" t="s">
        <v>47</v>
      </c>
      <c r="D35" s="6" t="s">
        <v>48</v>
      </c>
      <c r="G35" s="6" t="s">
        <v>47</v>
      </c>
      <c r="H35" s="6" t="s">
        <v>48</v>
      </c>
    </row>
    <row r="36" spans="2:8" x14ac:dyDescent="0.3">
      <c r="B36" s="6" t="s">
        <v>70</v>
      </c>
      <c r="C36" s="10">
        <f>'Inputs Non-Residential'!Q55*4*(365-104)</f>
        <v>0</v>
      </c>
      <c r="D36" s="6" t="s">
        <v>71</v>
      </c>
      <c r="F36" s="6" t="s">
        <v>72</v>
      </c>
      <c r="G36" s="10">
        <f>C36*(1-('Inputs Non-Residential'!Q56/100))</f>
        <v>0</v>
      </c>
      <c r="H36" s="6" t="s">
        <v>71</v>
      </c>
    </row>
    <row r="37" spans="2:8" x14ac:dyDescent="0.3">
      <c r="B37" s="6" t="s">
        <v>73</v>
      </c>
      <c r="C37" s="10">
        <v>15</v>
      </c>
      <c r="D37" s="6" t="s">
        <v>74</v>
      </c>
      <c r="F37" s="6" t="s">
        <v>73</v>
      </c>
      <c r="G37" s="10">
        <v>15</v>
      </c>
      <c r="H37" s="6" t="s">
        <v>74</v>
      </c>
    </row>
    <row r="38" spans="2:8" x14ac:dyDescent="0.3">
      <c r="B38" s="6" t="s">
        <v>75</v>
      </c>
      <c r="C38" s="10">
        <v>60</v>
      </c>
      <c r="D38" s="6" t="s">
        <v>74</v>
      </c>
      <c r="F38" s="6" t="s">
        <v>75</v>
      </c>
      <c r="G38" s="10">
        <v>60</v>
      </c>
      <c r="H38" s="6" t="s">
        <v>74</v>
      </c>
    </row>
    <row r="39" spans="2:8" x14ac:dyDescent="0.3">
      <c r="B39" s="6" t="s">
        <v>76</v>
      </c>
      <c r="C39" s="10">
        <v>4.1859999999999996E-3</v>
      </c>
      <c r="D39" s="6" t="s">
        <v>77</v>
      </c>
      <c r="F39" s="6" t="s">
        <v>76</v>
      </c>
      <c r="G39" s="10">
        <v>4.1859999999999996E-3</v>
      </c>
      <c r="H39" s="6" t="s">
        <v>77</v>
      </c>
    </row>
    <row r="40" spans="2:8" x14ac:dyDescent="0.3">
      <c r="B40" s="6" t="s">
        <v>78</v>
      </c>
      <c r="C40" s="10">
        <f>(C36*C39*(C38-C37))/3.6</f>
        <v>0</v>
      </c>
      <c r="D40" s="6" t="s">
        <v>52</v>
      </c>
      <c r="F40" s="6" t="s">
        <v>79</v>
      </c>
      <c r="G40" s="10">
        <f>(G36*G39*(G38-G37))/3.6</f>
        <v>0</v>
      </c>
      <c r="H40" s="6" t="s">
        <v>52</v>
      </c>
    </row>
    <row r="41" spans="2:8" x14ac:dyDescent="0.3">
      <c r="B41" s="6"/>
      <c r="D41" s="6"/>
      <c r="F41" s="6"/>
      <c r="H41" s="6"/>
    </row>
    <row r="42" spans="2:8" x14ac:dyDescent="0.3">
      <c r="B42" s="6" t="s">
        <v>80</v>
      </c>
      <c r="C42" s="10">
        <v>1</v>
      </c>
      <c r="D42" s="6" t="s">
        <v>8</v>
      </c>
      <c r="F42" t="s">
        <v>81</v>
      </c>
      <c r="G42" s="10">
        <f>'Inputs Non-Residential'!Q54</f>
        <v>1</v>
      </c>
      <c r="H42" s="6" t="s">
        <v>8</v>
      </c>
    </row>
    <row r="44" spans="2:8" x14ac:dyDescent="0.3">
      <c r="B44" s="7" t="s">
        <v>82</v>
      </c>
      <c r="C44" s="13">
        <f>C40/C42</f>
        <v>0</v>
      </c>
      <c r="D44" s="7" t="s">
        <v>52</v>
      </c>
      <c r="E44" s="8"/>
      <c r="F44" s="7" t="s">
        <v>83</v>
      </c>
      <c r="G44" s="13">
        <f>G40/G42</f>
        <v>0</v>
      </c>
      <c r="H44" s="7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DEC9-400D-4C2E-96E8-F610B68FBAB8}">
  <dimension ref="B3:H52"/>
  <sheetViews>
    <sheetView workbookViewId="0"/>
  </sheetViews>
  <sheetFormatPr defaultRowHeight="14.4" x14ac:dyDescent="0.3"/>
  <cols>
    <col min="2" max="2" width="35.33203125" bestFit="1" customWidth="1"/>
    <col min="3" max="3" width="12.44140625" bestFit="1" customWidth="1"/>
    <col min="6" max="6" width="32.88671875" bestFit="1" customWidth="1"/>
    <col min="7" max="7" width="12.44140625" bestFit="1" customWidth="1"/>
  </cols>
  <sheetData>
    <row r="3" spans="2:8" ht="27" x14ac:dyDescent="0.3">
      <c r="B3" s="5" t="s">
        <v>167</v>
      </c>
      <c r="C3" s="6" t="s">
        <v>47</v>
      </c>
      <c r="D3" s="6" t="s">
        <v>48</v>
      </c>
      <c r="G3" s="6" t="s">
        <v>47</v>
      </c>
      <c r="H3" s="6" t="s">
        <v>48</v>
      </c>
    </row>
    <row r="4" spans="2:8" x14ac:dyDescent="0.3">
      <c r="B4" s="6" t="s">
        <v>49</v>
      </c>
      <c r="C4" s="10">
        <f>'Inputs Non-Residential'!I5</f>
        <v>6</v>
      </c>
      <c r="D4" s="6" t="s">
        <v>50</v>
      </c>
      <c r="F4" s="6" t="s">
        <v>42</v>
      </c>
      <c r="G4" s="10">
        <f>'Inputs Non-Residential'!I5</f>
        <v>6</v>
      </c>
      <c r="H4" s="6" t="s">
        <v>50</v>
      </c>
    </row>
    <row r="5" spans="2:8" x14ac:dyDescent="0.3">
      <c r="B5" s="6" t="s">
        <v>51</v>
      </c>
      <c r="C5" s="103">
        <f>VLOOKUP(C4,Table12[#All],5,FALSE)</f>
        <v>28.316456288993116</v>
      </c>
      <c r="D5" s="6" t="s">
        <v>103</v>
      </c>
      <c r="F5" s="6" t="s">
        <v>51</v>
      </c>
      <c r="G5" s="103">
        <f>VLOOKUP(C4,Table12[#All],5,FALSE)*(1-('Inputs Non-Residential'!M23/100))</f>
        <v>28.316456288993116</v>
      </c>
      <c r="H5" s="6" t="s">
        <v>103</v>
      </c>
    </row>
    <row r="7" spans="2:8" x14ac:dyDescent="0.3">
      <c r="B7" s="6" t="s">
        <v>53</v>
      </c>
      <c r="C7" s="12">
        <v>3.1</v>
      </c>
      <c r="D7" s="6" t="s">
        <v>8</v>
      </c>
      <c r="F7" s="6" t="s">
        <v>84</v>
      </c>
      <c r="G7" s="11">
        <f>'Inputs Non-Residential'!U25</f>
        <v>3.4</v>
      </c>
      <c r="H7" s="6" t="s">
        <v>8</v>
      </c>
    </row>
    <row r="9" spans="2:8" x14ac:dyDescent="0.3">
      <c r="B9" s="7" t="s">
        <v>54</v>
      </c>
      <c r="C9" s="13">
        <f>IF(SUM('Inputs Non-Residential'!U32:U33)=0,(C5*'Inputs Non-Residential'!D10)/C7,(('Inputs Non-Residential'!U32+'Inputs Non-Residential'!U33)*'Inputs Non-Residential'!D10))</f>
        <v>0</v>
      </c>
      <c r="D9" s="7" t="s">
        <v>52</v>
      </c>
      <c r="E9" s="8"/>
      <c r="F9" s="7" t="s">
        <v>55</v>
      </c>
      <c r="G9" s="13">
        <f>IF(SUM('Inputs Non-Residential'!U39:U40)=0,(G5*'Inputs Non-Residential'!D10)/G7,(('Inputs Non-Residential'!U39+'Inputs Non-Residential'!U40)*'Inputs Non-Residential'!D10))</f>
        <v>0</v>
      </c>
      <c r="H9" s="7" t="s">
        <v>52</v>
      </c>
    </row>
    <row r="11" spans="2:8" ht="27" x14ac:dyDescent="0.3">
      <c r="B11" s="5" t="s">
        <v>169</v>
      </c>
      <c r="C11" s="6" t="s">
        <v>47</v>
      </c>
      <c r="D11" s="6" t="s">
        <v>48</v>
      </c>
      <c r="G11" s="6" t="s">
        <v>47</v>
      </c>
      <c r="H11" s="6" t="s">
        <v>48</v>
      </c>
    </row>
    <row r="12" spans="2:8" x14ac:dyDescent="0.3">
      <c r="B12" s="6" t="s">
        <v>49</v>
      </c>
      <c r="C12" s="10">
        <f>'Inputs Non-Residential'!I5</f>
        <v>6</v>
      </c>
      <c r="D12" s="6" t="s">
        <v>50</v>
      </c>
      <c r="F12" s="6" t="s">
        <v>42</v>
      </c>
      <c r="G12" s="10">
        <f>'Inputs Non-Residential'!I5</f>
        <v>6</v>
      </c>
      <c r="H12" s="6" t="s">
        <v>50</v>
      </c>
    </row>
    <row r="13" spans="2:8" x14ac:dyDescent="0.3">
      <c r="B13" s="6" t="s">
        <v>51</v>
      </c>
      <c r="C13" s="10">
        <f>SUM('Inputs Non-Residential'!U34:U35)</f>
        <v>0</v>
      </c>
      <c r="D13" s="6" t="s">
        <v>34</v>
      </c>
      <c r="F13" s="6" t="s">
        <v>51</v>
      </c>
      <c r="G13" s="10">
        <f>SUM('Inputs Non-Residential'!U41:U42)</f>
        <v>0</v>
      </c>
      <c r="H13" s="6" t="s">
        <v>34</v>
      </c>
    </row>
    <row r="15" spans="2:8" x14ac:dyDescent="0.3">
      <c r="B15" s="6" t="s">
        <v>53</v>
      </c>
      <c r="C15" s="12">
        <v>3.1</v>
      </c>
      <c r="D15" s="6" t="s">
        <v>8</v>
      </c>
      <c r="F15" s="6" t="s">
        <v>84</v>
      </c>
      <c r="G15" s="11">
        <f>'Inputs Non-Residential'!U25</f>
        <v>3.4</v>
      </c>
      <c r="H15" s="6" t="s">
        <v>8</v>
      </c>
    </row>
    <row r="17" spans="2:8" x14ac:dyDescent="0.3">
      <c r="B17" s="7" t="s">
        <v>54</v>
      </c>
      <c r="C17" s="13">
        <f>SUM('Inputs Non-Residential'!U34:U35)*'Inputs Non-Residential'!D10</f>
        <v>0</v>
      </c>
      <c r="D17" s="7" t="s">
        <v>168</v>
      </c>
      <c r="E17" s="8"/>
      <c r="F17" s="7" t="s">
        <v>55</v>
      </c>
      <c r="G17" s="13">
        <f>SUM('Inputs Non-Residential'!U41:U42)*'Inputs Non-Residential'!D10</f>
        <v>0</v>
      </c>
      <c r="H17" s="7" t="s">
        <v>168</v>
      </c>
    </row>
    <row r="19" spans="2:8" x14ac:dyDescent="0.3">
      <c r="B19" s="1" t="s">
        <v>150</v>
      </c>
      <c r="C19" s="6"/>
      <c r="D19" s="6"/>
      <c r="G19" s="6"/>
      <c r="H19" s="6"/>
    </row>
    <row r="20" spans="2:8" x14ac:dyDescent="0.3">
      <c r="B20" s="1"/>
      <c r="C20" s="6"/>
      <c r="D20" s="6"/>
      <c r="G20" s="6"/>
      <c r="H20" s="6"/>
    </row>
    <row r="21" spans="2:8" x14ac:dyDescent="0.3">
      <c r="B21" s="7" t="s">
        <v>151</v>
      </c>
      <c r="C21" s="13">
        <f>'Inputs Non-Residential'!U36*'Inputs Non-Residential'!D10</f>
        <v>0</v>
      </c>
      <c r="D21" s="7" t="s">
        <v>52</v>
      </c>
      <c r="E21" s="8"/>
      <c r="F21" s="7" t="s">
        <v>152</v>
      </c>
      <c r="G21" s="13">
        <f>'Inputs Non-Residential'!U43*'Inputs Non-Residential'!D10</f>
        <v>0</v>
      </c>
      <c r="H21" s="7" t="s">
        <v>52</v>
      </c>
    </row>
    <row r="23" spans="2:8" x14ac:dyDescent="0.3">
      <c r="B23" s="5" t="s">
        <v>56</v>
      </c>
      <c r="C23" s="6" t="s">
        <v>47</v>
      </c>
      <c r="D23" s="6" t="s">
        <v>48</v>
      </c>
      <c r="G23" s="6" t="s">
        <v>47</v>
      </c>
      <c r="H23" s="6" t="s">
        <v>48</v>
      </c>
    </row>
    <row r="24" spans="2:8" x14ac:dyDescent="0.3">
      <c r="B24" s="6" t="s">
        <v>86</v>
      </c>
      <c r="C24" s="10">
        <v>5</v>
      </c>
      <c r="D24" s="6" t="s">
        <v>57</v>
      </c>
      <c r="F24" s="6" t="s">
        <v>58</v>
      </c>
      <c r="G24" s="10">
        <v>5</v>
      </c>
      <c r="H24" s="6" t="s">
        <v>57</v>
      </c>
    </row>
    <row r="25" spans="2:8" x14ac:dyDescent="0.3">
      <c r="B25" s="6" t="s">
        <v>59</v>
      </c>
      <c r="C25" s="10">
        <v>8</v>
      </c>
      <c r="D25" s="6" t="s">
        <v>60</v>
      </c>
      <c r="F25" s="6" t="s">
        <v>59</v>
      </c>
      <c r="G25" s="10">
        <v>8</v>
      </c>
      <c r="H25" s="6" t="s">
        <v>60</v>
      </c>
    </row>
    <row r="27" spans="2:8" x14ac:dyDescent="0.3">
      <c r="B27" s="7" t="s">
        <v>61</v>
      </c>
      <c r="C27" s="13">
        <f>(C24/1000)*C25*'Inputs Non-Residential'!D10*365</f>
        <v>0</v>
      </c>
      <c r="D27" s="7" t="s">
        <v>52</v>
      </c>
      <c r="E27" s="8"/>
      <c r="F27" s="7" t="s">
        <v>62</v>
      </c>
      <c r="G27" s="13">
        <f>(G24/1000)*G25*'Inputs Non-Residential'!D10*365</f>
        <v>0</v>
      </c>
      <c r="H27" s="7" t="s">
        <v>52</v>
      </c>
    </row>
    <row r="29" spans="2:8" x14ac:dyDescent="0.3">
      <c r="B29" s="9" t="s">
        <v>63</v>
      </c>
      <c r="C29" s="6" t="s">
        <v>47</v>
      </c>
      <c r="D29" s="6" t="s">
        <v>48</v>
      </c>
      <c r="G29" s="6" t="s">
        <v>47</v>
      </c>
      <c r="H29" s="6" t="s">
        <v>48</v>
      </c>
    </row>
    <row r="30" spans="2:8" x14ac:dyDescent="0.3">
      <c r="B30" s="6" t="s">
        <v>64</v>
      </c>
      <c r="C30" s="10">
        <v>4.75</v>
      </c>
      <c r="D30" s="6" t="s">
        <v>57</v>
      </c>
      <c r="F30" s="6" t="s">
        <v>65</v>
      </c>
      <c r="G30" s="10">
        <f>C30*(1-('Inputs Non-Residential'!U26/100))</f>
        <v>4.75</v>
      </c>
      <c r="H30" s="6" t="s">
        <v>57</v>
      </c>
    </row>
    <row r="31" spans="2:8" x14ac:dyDescent="0.3">
      <c r="B31" s="6" t="s">
        <v>104</v>
      </c>
      <c r="C31" s="10">
        <v>10</v>
      </c>
      <c r="D31" s="6" t="s">
        <v>60</v>
      </c>
      <c r="F31" s="6" t="s">
        <v>66</v>
      </c>
      <c r="G31" s="10">
        <v>10</v>
      </c>
      <c r="H31" s="6" t="s">
        <v>60</v>
      </c>
    </row>
    <row r="33" spans="2:8" x14ac:dyDescent="0.3">
      <c r="B33" s="7" t="s">
        <v>67</v>
      </c>
      <c r="C33" s="13">
        <f>IF('Inputs Non-Residential'!U37=0,((C30/1000)*C31*'Inputs Non-Residential'!D10*365),('Inputs Non-Residential'!U37*'Inputs Non-Residential'!D10))</f>
        <v>0</v>
      </c>
      <c r="D33" s="7" t="s">
        <v>52</v>
      </c>
      <c r="E33" s="8"/>
      <c r="F33" s="8" t="s">
        <v>68</v>
      </c>
      <c r="G33" s="13">
        <f>IF('Inputs Non-Residential'!U44=0,((G30/1000)*G31*'Inputs Non-Residential'!D10*365),('Inputs Non-Residential'!U44*'Inputs Non-Residential'!D10))</f>
        <v>0</v>
      </c>
      <c r="H33" s="7" t="s">
        <v>52</v>
      </c>
    </row>
    <row r="35" spans="2:8" x14ac:dyDescent="0.3">
      <c r="B35" s="9" t="s">
        <v>69</v>
      </c>
      <c r="C35" s="6" t="s">
        <v>47</v>
      </c>
      <c r="D35" s="6" t="s">
        <v>48</v>
      </c>
      <c r="G35" s="6" t="s">
        <v>47</v>
      </c>
      <c r="H35" s="6" t="s">
        <v>48</v>
      </c>
    </row>
    <row r="36" spans="2:8" x14ac:dyDescent="0.3">
      <c r="B36" s="6" t="s">
        <v>70</v>
      </c>
      <c r="C36" s="10">
        <f>'Inputs Non-Residential'!U55*60*365</f>
        <v>0</v>
      </c>
      <c r="D36" s="6" t="s">
        <v>71</v>
      </c>
      <c r="F36" s="6" t="s">
        <v>72</v>
      </c>
      <c r="G36" s="10">
        <f>C36*(1-('Inputs Non-Residential'!U56/100))</f>
        <v>0</v>
      </c>
      <c r="H36" s="6" t="s">
        <v>71</v>
      </c>
    </row>
    <row r="37" spans="2:8" x14ac:dyDescent="0.3">
      <c r="B37" s="6" t="s">
        <v>73</v>
      </c>
      <c r="C37" s="10">
        <v>15</v>
      </c>
      <c r="D37" s="6" t="s">
        <v>74</v>
      </c>
      <c r="F37" s="6" t="s">
        <v>73</v>
      </c>
      <c r="G37" s="10">
        <v>15</v>
      </c>
      <c r="H37" s="6" t="s">
        <v>74</v>
      </c>
    </row>
    <row r="38" spans="2:8" x14ac:dyDescent="0.3">
      <c r="B38" s="6" t="s">
        <v>75</v>
      </c>
      <c r="C38" s="10">
        <v>60</v>
      </c>
      <c r="D38" s="6" t="s">
        <v>74</v>
      </c>
      <c r="F38" s="6" t="s">
        <v>75</v>
      </c>
      <c r="G38" s="10">
        <v>60</v>
      </c>
      <c r="H38" s="6" t="s">
        <v>74</v>
      </c>
    </row>
    <row r="39" spans="2:8" x14ac:dyDescent="0.3">
      <c r="B39" s="6" t="s">
        <v>76</v>
      </c>
      <c r="C39" s="10">
        <v>4.1859999999999996E-3</v>
      </c>
      <c r="D39" s="6" t="s">
        <v>77</v>
      </c>
      <c r="F39" s="6" t="s">
        <v>76</v>
      </c>
      <c r="G39" s="10">
        <v>4.1859999999999996E-3</v>
      </c>
      <c r="H39" s="6" t="s">
        <v>77</v>
      </c>
    </row>
    <row r="40" spans="2:8" x14ac:dyDescent="0.3">
      <c r="B40" s="6" t="s">
        <v>78</v>
      </c>
      <c r="C40" s="10">
        <f>(C36*C39*(C38-C37))/3.6</f>
        <v>0</v>
      </c>
      <c r="D40" s="6" t="s">
        <v>52</v>
      </c>
      <c r="F40" s="6" t="s">
        <v>79</v>
      </c>
      <c r="G40" s="10">
        <f>(G36*G39*(G38-G37))/3.6</f>
        <v>0</v>
      </c>
      <c r="H40" s="6" t="s">
        <v>52</v>
      </c>
    </row>
    <row r="41" spans="2:8" x14ac:dyDescent="0.3">
      <c r="B41" s="6"/>
      <c r="D41" s="6"/>
      <c r="F41" s="6"/>
      <c r="H41" s="6"/>
    </row>
    <row r="42" spans="2:8" x14ac:dyDescent="0.3">
      <c r="B42" s="6" t="s">
        <v>80</v>
      </c>
      <c r="C42" s="10">
        <v>1</v>
      </c>
      <c r="D42" s="6" t="s">
        <v>8</v>
      </c>
      <c r="F42" t="s">
        <v>81</v>
      </c>
      <c r="G42" s="10">
        <f>'Inputs Non-Residential'!U54</f>
        <v>1</v>
      </c>
      <c r="H42" s="6" t="s">
        <v>8</v>
      </c>
    </row>
    <row r="44" spans="2:8" x14ac:dyDescent="0.3">
      <c r="B44" s="7" t="s">
        <v>82</v>
      </c>
      <c r="C44" s="13">
        <f>C40/C42</f>
        <v>0</v>
      </c>
      <c r="D44" s="7" t="s">
        <v>52</v>
      </c>
      <c r="E44" s="8"/>
      <c r="F44" s="7" t="s">
        <v>83</v>
      </c>
      <c r="G44" s="13">
        <f>G40/G42</f>
        <v>0</v>
      </c>
      <c r="H44" s="7" t="s">
        <v>52</v>
      </c>
    </row>
    <row r="46" spans="2:8" x14ac:dyDescent="0.3">
      <c r="B46" s="9" t="s">
        <v>85</v>
      </c>
      <c r="C46" t="s">
        <v>47</v>
      </c>
      <c r="D46" t="s">
        <v>48</v>
      </c>
      <c r="F46" s="9" t="s">
        <v>85</v>
      </c>
      <c r="G46" t="s">
        <v>47</v>
      </c>
      <c r="H46" t="s">
        <v>48</v>
      </c>
    </row>
    <row r="47" spans="2:8" x14ac:dyDescent="0.3">
      <c r="B47" s="6" t="s">
        <v>194</v>
      </c>
      <c r="C47" t="s">
        <v>31</v>
      </c>
      <c r="F47" s="6" t="s">
        <v>194</v>
      </c>
      <c r="G47" t="str">
        <f>'Inputs Non-Residential'!U27</f>
        <v>None</v>
      </c>
    </row>
    <row r="48" spans="2:8" x14ac:dyDescent="0.3">
      <c r="B48" s="6" t="s">
        <v>156</v>
      </c>
      <c r="C48" t="s">
        <v>31</v>
      </c>
      <c r="F48" s="6" t="s">
        <v>156</v>
      </c>
      <c r="G48" t="str">
        <f>IF('Inputs Non-Residential'!U27="Gas","Gas","Electric")</f>
        <v>Electric</v>
      </c>
    </row>
    <row r="49" spans="2:8" x14ac:dyDescent="0.3">
      <c r="B49" t="s">
        <v>88</v>
      </c>
      <c r="C49" s="10">
        <f>'Drop down'!D19</f>
        <v>28.8</v>
      </c>
      <c r="D49" t="s">
        <v>38</v>
      </c>
      <c r="F49" t="s">
        <v>88</v>
      </c>
      <c r="G49" s="10">
        <f>VLOOKUP(G47,Table10[#All],3,FALSE)</f>
        <v>0</v>
      </c>
      <c r="H49" t="str">
        <f>VLOOKUP(G47,Table10[#All],4,FALSE)</f>
        <v>kW/h</v>
      </c>
    </row>
    <row r="50" spans="2:8" x14ac:dyDescent="0.3">
      <c r="B50" t="s">
        <v>59</v>
      </c>
      <c r="C50" s="10">
        <v>6</v>
      </c>
      <c r="D50" t="s">
        <v>89</v>
      </c>
      <c r="F50" t="s">
        <v>59</v>
      </c>
      <c r="G50" s="10">
        <v>6</v>
      </c>
      <c r="H50" t="s">
        <v>89</v>
      </c>
    </row>
    <row r="52" spans="2:8" x14ac:dyDescent="0.3">
      <c r="B52" s="8" t="s">
        <v>90</v>
      </c>
      <c r="C52" s="13">
        <f>IF('Inputs Non-Residential'!U27="None",0,(C49*C50*365))</f>
        <v>0</v>
      </c>
      <c r="D52" s="8" t="s">
        <v>168</v>
      </c>
      <c r="E52" s="8"/>
      <c r="F52" s="8" t="s">
        <v>90</v>
      </c>
      <c r="G52" s="13">
        <f>G49*G50*365</f>
        <v>0</v>
      </c>
      <c r="H52" s="8" t="s">
        <v>52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AA639-308E-451F-8C9F-E88EF1CD0A9F}">
  <dimension ref="B2:H22"/>
  <sheetViews>
    <sheetView workbookViewId="0"/>
  </sheetViews>
  <sheetFormatPr defaultRowHeight="14.4" x14ac:dyDescent="0.3"/>
  <cols>
    <col min="2" max="2" width="29.109375" bestFit="1" customWidth="1"/>
    <col min="3" max="3" width="16.6640625" bestFit="1" customWidth="1"/>
    <col min="6" max="6" width="30.5546875" bestFit="1" customWidth="1"/>
    <col min="7" max="7" width="10.44140625" bestFit="1" customWidth="1"/>
  </cols>
  <sheetData>
    <row r="2" spans="2:8" x14ac:dyDescent="0.3">
      <c r="B2" s="5" t="s">
        <v>139</v>
      </c>
      <c r="C2" s="6" t="s">
        <v>47</v>
      </c>
      <c r="D2" s="6" t="s">
        <v>48</v>
      </c>
      <c r="G2" s="6" t="s">
        <v>47</v>
      </c>
      <c r="H2" s="6" t="s">
        <v>48</v>
      </c>
    </row>
    <row r="4" spans="2:8" x14ac:dyDescent="0.3">
      <c r="B4" s="7" t="s">
        <v>191</v>
      </c>
      <c r="C4" s="10">
        <f>'Inputs Non-Residential'!D11*42.33*(3212/8760)</f>
        <v>0</v>
      </c>
      <c r="D4" s="7" t="s">
        <v>52</v>
      </c>
      <c r="E4" s="8"/>
      <c r="F4" s="7" t="s">
        <v>55</v>
      </c>
      <c r="G4" s="10">
        <f>'Inputs Non-Residential'!D11*42.33*(3212/8760)</f>
        <v>0</v>
      </c>
      <c r="H4" s="7" t="s">
        <v>52</v>
      </c>
    </row>
    <row r="5" spans="2:8" x14ac:dyDescent="0.3">
      <c r="B5" s="6"/>
      <c r="C5" s="18"/>
      <c r="D5" s="6"/>
      <c r="F5" s="6"/>
      <c r="G5" s="18"/>
      <c r="H5" s="6"/>
    </row>
    <row r="6" spans="2:8" x14ac:dyDescent="0.3">
      <c r="B6" s="9" t="s">
        <v>140</v>
      </c>
      <c r="C6" s="6" t="s">
        <v>47</v>
      </c>
      <c r="D6" s="6" t="s">
        <v>48</v>
      </c>
      <c r="G6" s="6" t="s">
        <v>47</v>
      </c>
      <c r="H6" s="6" t="s">
        <v>48</v>
      </c>
    </row>
    <row r="7" spans="2:8" x14ac:dyDescent="0.3">
      <c r="B7" s="6" t="s">
        <v>64</v>
      </c>
      <c r="C7" s="10">
        <v>2</v>
      </c>
      <c r="D7" s="6" t="s">
        <v>57</v>
      </c>
      <c r="F7" s="6" t="s">
        <v>65</v>
      </c>
      <c r="G7" s="10">
        <v>2</v>
      </c>
      <c r="H7" s="6" t="s">
        <v>57</v>
      </c>
    </row>
    <row r="8" spans="2:8" x14ac:dyDescent="0.3">
      <c r="B8" s="6" t="s">
        <v>104</v>
      </c>
      <c r="C8" s="10">
        <v>10</v>
      </c>
      <c r="D8" s="6" t="s">
        <v>60</v>
      </c>
      <c r="F8" s="6" t="s">
        <v>66</v>
      </c>
      <c r="G8" s="10">
        <v>10</v>
      </c>
      <c r="H8" s="6" t="s">
        <v>60</v>
      </c>
    </row>
    <row r="10" spans="2:8" x14ac:dyDescent="0.3">
      <c r="B10" s="7" t="s">
        <v>67</v>
      </c>
      <c r="C10" s="13">
        <f>(C7/1000)*C8*365*'Inputs Non-Residential'!D11</f>
        <v>0</v>
      </c>
      <c r="D10" s="7" t="s">
        <v>52</v>
      </c>
      <c r="E10" s="8"/>
      <c r="F10" s="8" t="s">
        <v>68</v>
      </c>
      <c r="G10" s="13">
        <f>(G7/1000)*G8*365*'Inputs Non-Residential'!D11</f>
        <v>0</v>
      </c>
      <c r="H10" s="7" t="s">
        <v>52</v>
      </c>
    </row>
    <row r="12" spans="2:8" x14ac:dyDescent="0.3">
      <c r="B12" s="9" t="s">
        <v>141</v>
      </c>
      <c r="C12" s="6" t="s">
        <v>47</v>
      </c>
      <c r="D12" s="6" t="s">
        <v>48</v>
      </c>
      <c r="G12" s="6" t="s">
        <v>47</v>
      </c>
      <c r="H12" s="6" t="s">
        <v>48</v>
      </c>
    </row>
    <row r="13" spans="2:8" x14ac:dyDescent="0.3">
      <c r="B13" s="6" t="s">
        <v>64</v>
      </c>
      <c r="C13" s="10">
        <v>1.5</v>
      </c>
      <c r="D13" s="6" t="s">
        <v>57</v>
      </c>
      <c r="F13" s="6" t="s">
        <v>65</v>
      </c>
      <c r="G13" s="10">
        <v>1.5</v>
      </c>
      <c r="H13" s="6" t="s">
        <v>57</v>
      </c>
    </row>
    <row r="14" spans="2:8" x14ac:dyDescent="0.3">
      <c r="B14" s="6" t="s">
        <v>104</v>
      </c>
      <c r="C14" s="10">
        <v>4</v>
      </c>
      <c r="D14" s="6" t="s">
        <v>60</v>
      </c>
      <c r="F14" s="6" t="s">
        <v>66</v>
      </c>
      <c r="G14" s="10">
        <v>4</v>
      </c>
      <c r="H14" s="6" t="s">
        <v>60</v>
      </c>
    </row>
    <row r="16" spans="2:8" x14ac:dyDescent="0.3">
      <c r="B16" s="7" t="s">
        <v>67</v>
      </c>
      <c r="C16" s="13">
        <f>(C13/1000)*C14*365*'Inputs Non-Residential'!D12</f>
        <v>0</v>
      </c>
      <c r="D16" s="7" t="s">
        <v>52</v>
      </c>
      <c r="E16" s="8"/>
      <c r="F16" s="8" t="s">
        <v>68</v>
      </c>
      <c r="G16" s="13">
        <f>(G13/1000)*G14*365*'Inputs Non-Residential'!D12</f>
        <v>0</v>
      </c>
      <c r="H16" s="7" t="s">
        <v>52</v>
      </c>
    </row>
    <row r="18" spans="2:8" x14ac:dyDescent="0.3">
      <c r="B18" s="9" t="s">
        <v>136</v>
      </c>
      <c r="C18" t="s">
        <v>47</v>
      </c>
      <c r="D18" t="s">
        <v>48</v>
      </c>
    </row>
    <row r="19" spans="2:8" x14ac:dyDescent="0.3">
      <c r="B19" t="s">
        <v>137</v>
      </c>
      <c r="C19">
        <f>'Inputs Non-Residential'!D14</f>
        <v>0</v>
      </c>
      <c r="D19" t="s">
        <v>135</v>
      </c>
      <c r="F19" t="s">
        <v>134</v>
      </c>
      <c r="G19">
        <f>'Inputs Non-Residential'!D14</f>
        <v>0</v>
      </c>
      <c r="H19" t="s">
        <v>135</v>
      </c>
    </row>
    <row r="20" spans="2:8" x14ac:dyDescent="0.3">
      <c r="B20" t="s">
        <v>133</v>
      </c>
      <c r="C20">
        <f>'Inputs Non-Residential'!D13</f>
        <v>0</v>
      </c>
      <c r="F20" t="s">
        <v>133</v>
      </c>
      <c r="G20">
        <f>'Inputs Non-Residential'!D13</f>
        <v>0</v>
      </c>
    </row>
    <row r="22" spans="2:8" x14ac:dyDescent="0.3">
      <c r="B22" s="7" t="s">
        <v>138</v>
      </c>
      <c r="C22" s="71">
        <f>(((110000*((C19/2)/1)*10)/3600)+0.07*24*365)*C20</f>
        <v>0</v>
      </c>
      <c r="D22" s="7" t="s">
        <v>52</v>
      </c>
      <c r="E22" s="8"/>
      <c r="F22" s="8"/>
      <c r="G22" s="71">
        <f>(((110000*((G19/2)/1)*10)/3600)+0.07*24*365)*G20</f>
        <v>0</v>
      </c>
      <c r="H22" s="7" t="s">
        <v>52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7D33-37A1-4563-9D13-3C298E78B961}">
  <dimension ref="A2:Z98"/>
  <sheetViews>
    <sheetView topLeftCell="L49" workbookViewId="0">
      <selection activeCell="T80" sqref="T80"/>
    </sheetView>
  </sheetViews>
  <sheetFormatPr defaultRowHeight="14.4" x14ac:dyDescent="0.3"/>
  <cols>
    <col min="3" max="3" width="32.109375" bestFit="1" customWidth="1"/>
    <col min="4" max="6" width="13.5546875" customWidth="1"/>
    <col min="7" max="7" width="15.33203125" bestFit="1" customWidth="1"/>
    <col min="8" max="8" width="24.109375" bestFit="1" customWidth="1"/>
    <col min="9" max="11" width="13.6640625" customWidth="1"/>
    <col min="12" max="12" width="11.44140625" customWidth="1"/>
    <col min="13" max="13" width="21.33203125" bestFit="1" customWidth="1"/>
    <col min="14" max="16" width="13.6640625" customWidth="1"/>
    <col min="18" max="18" width="32.109375" bestFit="1" customWidth="1"/>
    <col min="19" max="21" width="13.6640625" customWidth="1"/>
    <col min="23" max="23" width="32.44140625" customWidth="1"/>
    <col min="24" max="26" width="13.6640625" customWidth="1"/>
    <col min="28" max="29" width="10.5546875" bestFit="1" customWidth="1"/>
  </cols>
  <sheetData>
    <row r="2" spans="1:26" x14ac:dyDescent="0.3">
      <c r="H2" s="133" t="s">
        <v>189</v>
      </c>
      <c r="I2" s="133"/>
      <c r="J2" s="16">
        <v>0.86</v>
      </c>
      <c r="K2" t="s">
        <v>154</v>
      </c>
      <c r="R2" s="134" t="s">
        <v>95</v>
      </c>
      <c r="S2" s="134"/>
      <c r="T2" s="16">
        <v>0.28899999999999998</v>
      </c>
      <c r="U2" t="s">
        <v>107</v>
      </c>
      <c r="W2" s="4" t="s">
        <v>106</v>
      </c>
      <c r="Y2" s="16">
        <v>3.5000000000000003E-2</v>
      </c>
      <c r="Z2" t="s">
        <v>172</v>
      </c>
    </row>
    <row r="3" spans="1:26" x14ac:dyDescent="0.3">
      <c r="H3" s="133" t="s">
        <v>153</v>
      </c>
      <c r="I3" s="133"/>
      <c r="J3" s="16">
        <v>5.1529999999999999E-2</v>
      </c>
      <c r="K3" t="s">
        <v>173</v>
      </c>
      <c r="R3" s="134" t="s">
        <v>96</v>
      </c>
      <c r="S3" s="134"/>
      <c r="T3" s="16">
        <f>T2+0.05</f>
        <v>0.33899999999999997</v>
      </c>
      <c r="U3" t="s">
        <v>107</v>
      </c>
    </row>
    <row r="4" spans="1:26" x14ac:dyDescent="0.3">
      <c r="H4" s="133" t="s">
        <v>180</v>
      </c>
      <c r="I4" s="133"/>
      <c r="J4" s="16">
        <v>0</v>
      </c>
      <c r="K4" t="s">
        <v>154</v>
      </c>
      <c r="T4" s="16"/>
    </row>
    <row r="6" spans="1:26" ht="15" thickBot="1" x14ac:dyDescent="0.35"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26" ht="17.399999999999999" x14ac:dyDescent="0.35">
      <c r="C7" s="130" t="s">
        <v>1</v>
      </c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2"/>
    </row>
    <row r="8" spans="1:26" ht="28.8" x14ac:dyDescent="0.3">
      <c r="C8" s="32" t="s">
        <v>109</v>
      </c>
      <c r="D8" s="72"/>
      <c r="E8" s="72" t="s">
        <v>197</v>
      </c>
      <c r="F8" s="72">
        <f>'Inputs Non-Residential'!D5</f>
        <v>0</v>
      </c>
      <c r="G8" s="8"/>
      <c r="H8" s="8" t="s">
        <v>111</v>
      </c>
      <c r="I8" s="8"/>
      <c r="J8" s="72" t="s">
        <v>197</v>
      </c>
      <c r="K8" s="72">
        <f>'Inputs Non-Residential'!D5</f>
        <v>0</v>
      </c>
      <c r="M8" s="72" t="s">
        <v>192</v>
      </c>
      <c r="N8" s="72"/>
      <c r="O8" s="72" t="s">
        <v>197</v>
      </c>
      <c r="P8" s="72">
        <f>'Inputs Non-Residential'!D5</f>
        <v>0</v>
      </c>
      <c r="R8" s="8" t="s">
        <v>105</v>
      </c>
      <c r="S8" s="8"/>
      <c r="T8" s="72" t="s">
        <v>197</v>
      </c>
      <c r="U8" s="78">
        <f>'Inputs Non-Residential'!D5</f>
        <v>0</v>
      </c>
    </row>
    <row r="9" spans="1:26" ht="28.8" x14ac:dyDescent="0.3">
      <c r="C9" s="63" t="s">
        <v>238</v>
      </c>
      <c r="E9" s="14">
        <f>'Calculations Retail'!C9</f>
        <v>0</v>
      </c>
      <c r="F9" s="14">
        <f>'Calculations Retail'!G9</f>
        <v>0</v>
      </c>
      <c r="G9" s="14"/>
      <c r="H9" s="14" t="str">
        <f>C9</f>
        <v>Heating &amp; Cooling
(Elec)</v>
      </c>
      <c r="I9" s="14"/>
      <c r="J9" s="14">
        <f>(E9*$J$2)/1000</f>
        <v>0</v>
      </c>
      <c r="K9" s="14">
        <f>(F9*$J$2)/1000</f>
        <v>0</v>
      </c>
      <c r="L9" s="14"/>
      <c r="M9" s="14" t="str">
        <f>H9</f>
        <v>Heating &amp; Cooling
(Elec)</v>
      </c>
      <c r="N9" s="14"/>
      <c r="O9" s="14">
        <f>(E9*$J$2)/1000</f>
        <v>0</v>
      </c>
      <c r="P9" s="14">
        <f>IF('Inputs Non-Residential'!D16="Whole Development",((F9*$J$4)/1000),((F9*$J$2)/1000))</f>
        <v>0</v>
      </c>
      <c r="R9" t="str">
        <f>C9</f>
        <v>Heating &amp; Cooling
(Elec)</v>
      </c>
      <c r="T9" s="33">
        <f>E9*$T$2</f>
        <v>0</v>
      </c>
      <c r="U9" s="40">
        <f>F9*$T$2</f>
        <v>0</v>
      </c>
    </row>
    <row r="10" spans="1:26" ht="28.8" x14ac:dyDescent="0.3">
      <c r="C10" s="63" t="s">
        <v>237</v>
      </c>
      <c r="E10" s="14">
        <f>'Calculations Retail'!C17*0.277776</f>
        <v>0</v>
      </c>
      <c r="F10" s="105">
        <f>'Calculations Retail'!G17*0.2777776</f>
        <v>0</v>
      </c>
      <c r="G10" s="14"/>
      <c r="H10" t="s">
        <v>171</v>
      </c>
      <c r="J10" s="14">
        <f>('Calculations Retail'!C17*J3)/1000</f>
        <v>0</v>
      </c>
      <c r="K10" s="14">
        <f>('Calculations Retail'!G17*J3)/1000</f>
        <v>0</v>
      </c>
      <c r="L10" s="14"/>
      <c r="M10" t="s">
        <v>171</v>
      </c>
      <c r="O10" s="14">
        <f>J10</f>
        <v>0</v>
      </c>
      <c r="P10" s="14">
        <f>K10</f>
        <v>0</v>
      </c>
      <c r="R10" t="s">
        <v>171</v>
      </c>
      <c r="T10" s="104">
        <f>'Calculations Retail'!K17*$Y$2</f>
        <v>0</v>
      </c>
      <c r="U10" s="40">
        <f>'Calculations Retail'!O17*$Y$2</f>
        <v>0</v>
      </c>
    </row>
    <row r="11" spans="1:26" x14ac:dyDescent="0.3">
      <c r="C11" s="19" t="s">
        <v>145</v>
      </c>
      <c r="E11" s="14">
        <f>'Calculations Retail'!C21</f>
        <v>0</v>
      </c>
      <c r="F11" s="14">
        <f>'Calculations Retail'!G21</f>
        <v>0</v>
      </c>
      <c r="G11" s="14"/>
      <c r="H11" t="s">
        <v>145</v>
      </c>
      <c r="J11" s="14">
        <f t="shared" ref="J11:K13" si="0">(E11*$J$2)/1000</f>
        <v>0</v>
      </c>
      <c r="K11" s="14">
        <f t="shared" si="0"/>
        <v>0</v>
      </c>
      <c r="L11" s="14"/>
      <c r="M11" t="s">
        <v>145</v>
      </c>
      <c r="O11" s="14">
        <f>(E11*$J$2)/1000</f>
        <v>0</v>
      </c>
      <c r="P11" s="14">
        <f>IF('Inputs Non-Residential'!D16="Whole Development",((F11*$J$4)/1000),((F11*$J$2)/1000))</f>
        <v>0</v>
      </c>
      <c r="R11" t="s">
        <v>145</v>
      </c>
      <c r="T11" s="33">
        <f t="shared" ref="T11:U13" si="1">E11*$T$2</f>
        <v>0</v>
      </c>
      <c r="U11" s="40">
        <f t="shared" si="1"/>
        <v>0</v>
      </c>
    </row>
    <row r="12" spans="1:26" x14ac:dyDescent="0.3">
      <c r="C12" s="19" t="s">
        <v>98</v>
      </c>
      <c r="E12" s="14">
        <f>'Calculations Retail'!C27</f>
        <v>0</v>
      </c>
      <c r="F12" s="14">
        <f>'Calculations Retail'!G27</f>
        <v>0</v>
      </c>
      <c r="G12" s="14"/>
      <c r="H12" s="14" t="str">
        <f>C12</f>
        <v>Lighting</v>
      </c>
      <c r="I12" s="14"/>
      <c r="J12" s="14">
        <f t="shared" si="0"/>
        <v>0</v>
      </c>
      <c r="K12" s="14">
        <f t="shared" si="0"/>
        <v>0</v>
      </c>
      <c r="L12" s="14"/>
      <c r="M12" s="14" t="str">
        <f>H12</f>
        <v>Lighting</v>
      </c>
      <c r="N12" s="14"/>
      <c r="O12" s="14">
        <f>(E12*$J$2)/1000</f>
        <v>0</v>
      </c>
      <c r="P12" s="14">
        <f>IF('Inputs Non-Residential'!D16="Whole Development",((F12*$J$4)/1000),((F12*$J$2)/1000))</f>
        <v>0</v>
      </c>
      <c r="R12" t="str">
        <f>C12</f>
        <v>Lighting</v>
      </c>
      <c r="T12" s="33">
        <f t="shared" si="1"/>
        <v>0</v>
      </c>
      <c r="U12" s="40">
        <f t="shared" si="1"/>
        <v>0</v>
      </c>
    </row>
    <row r="13" spans="1:26" x14ac:dyDescent="0.3">
      <c r="C13" s="19" t="s">
        <v>99</v>
      </c>
      <c r="E13" s="14">
        <f>'Calculations Retail'!C38</f>
        <v>0</v>
      </c>
      <c r="F13" s="14">
        <f>'Calculations Retail'!G38</f>
        <v>0</v>
      </c>
      <c r="G13" s="14"/>
      <c r="H13" s="14" t="str">
        <f>C13</f>
        <v>Hot Water</v>
      </c>
      <c r="I13" s="14"/>
      <c r="J13" s="14">
        <f t="shared" si="0"/>
        <v>0</v>
      </c>
      <c r="K13" s="14">
        <f t="shared" si="0"/>
        <v>0</v>
      </c>
      <c r="L13" s="14"/>
      <c r="M13" s="14" t="str">
        <f>H13</f>
        <v>Hot Water</v>
      </c>
      <c r="N13" s="14"/>
      <c r="O13" s="14">
        <f>(E13*$J$2)/1000</f>
        <v>0</v>
      </c>
      <c r="P13" s="14">
        <f>IF('Inputs Non-Residential'!D16="Whole Development",((F13*$J$4)/1000),((F13*$J$2)/1000))</f>
        <v>0</v>
      </c>
      <c r="R13" t="str">
        <f>C13</f>
        <v>Hot Water</v>
      </c>
      <c r="T13" s="33">
        <f t="shared" si="1"/>
        <v>0</v>
      </c>
      <c r="U13" s="40">
        <f t="shared" si="1"/>
        <v>0</v>
      </c>
    </row>
    <row r="14" spans="1:26" s="1" customFormat="1" x14ac:dyDescent="0.3">
      <c r="A14"/>
      <c r="B14"/>
      <c r="C14" s="19" t="s">
        <v>28</v>
      </c>
      <c r="D14"/>
      <c r="E14" s="14">
        <f>'Calculations Retail'!C46*0.277776</f>
        <v>0</v>
      </c>
      <c r="F14" s="14">
        <f>IF('Calculations Retail'!G42="Gas",'Calculations Retail'!G46*0.277776,'Calculations Retail'!G46)</f>
        <v>0</v>
      </c>
      <c r="G14" s="14"/>
      <c r="H14" s="14" t="str">
        <f>C14</f>
        <v>Cooktops</v>
      </c>
      <c r="I14" s="14"/>
      <c r="J14" s="14">
        <f>(E14*$J$3*3.6)/1000</f>
        <v>0</v>
      </c>
      <c r="K14" s="14">
        <f>IF('Calculations Retail'!G42="Gas",((F14*$J$3*3.6)/1000),((F14*$J$2)/1000))</f>
        <v>0</v>
      </c>
      <c r="L14" s="14"/>
      <c r="M14" s="14" t="str">
        <f>H14</f>
        <v>Cooktops</v>
      </c>
      <c r="N14" s="14"/>
      <c r="O14" s="14">
        <f>J14</f>
        <v>0</v>
      </c>
      <c r="P14" s="14">
        <f>IF('Calculations Retail'!G42="Gas",(('Totals Non-Residential'!F14*3.6*'Totals Non-Residential'!J3)/1000),IF('Inputs Non-Residential'!D16="Whole Development",((F14*$J$4)/1000),((F14*$J$2)/1000)))</f>
        <v>0</v>
      </c>
      <c r="Q14"/>
      <c r="R14" t="str">
        <f>C14</f>
        <v>Cooktops</v>
      </c>
      <c r="S14"/>
      <c r="T14" s="41">
        <f>E14*3.6*$Y$2</f>
        <v>0</v>
      </c>
      <c r="U14" s="42">
        <f>IF('Calculations Retail'!G42="Gas",'Totals Non-Residential'!F14*3.6*'Totals Non-Residential'!Y2,'Totals Non-Residential'!F14*$T$2)</f>
        <v>0</v>
      </c>
    </row>
    <row r="15" spans="1:26" ht="15" thickBot="1" x14ac:dyDescent="0.35">
      <c r="C15" s="34" t="s">
        <v>94</v>
      </c>
      <c r="D15" s="38"/>
      <c r="E15" s="35">
        <f>SUM(E9:E14)</f>
        <v>0</v>
      </c>
      <c r="F15" s="35">
        <f>SUM(F9:F14)</f>
        <v>0</v>
      </c>
      <c r="G15" s="35"/>
      <c r="H15" s="35" t="str">
        <f>C15</f>
        <v>Total</v>
      </c>
      <c r="I15" s="35"/>
      <c r="J15" s="35">
        <f>SUM(J9:J14)</f>
        <v>0</v>
      </c>
      <c r="K15" s="35">
        <f>SUM(K9:K14)</f>
        <v>0</v>
      </c>
      <c r="L15" s="35"/>
      <c r="M15" s="35" t="str">
        <f>H15</f>
        <v>Total</v>
      </c>
      <c r="N15" s="35"/>
      <c r="O15" s="35">
        <f>SUM(O9:O14)</f>
        <v>0</v>
      </c>
      <c r="P15" s="35">
        <f>SUM(P9:P14)</f>
        <v>0</v>
      </c>
      <c r="Q15" s="38"/>
      <c r="R15" s="38" t="str">
        <f>C15</f>
        <v>Total</v>
      </c>
      <c r="S15" s="38"/>
      <c r="T15" s="39">
        <f>E15*$T$2</f>
        <v>0</v>
      </c>
      <c r="U15" s="43">
        <f>F15*$T$2</f>
        <v>0</v>
      </c>
    </row>
    <row r="16" spans="1:26" ht="15" thickBot="1" x14ac:dyDescent="0.35"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3:21" ht="17.399999999999999" x14ac:dyDescent="0.35">
      <c r="C17" s="130" t="s">
        <v>2</v>
      </c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2"/>
    </row>
    <row r="18" spans="3:21" ht="28.8" x14ac:dyDescent="0.3">
      <c r="C18" s="32" t="s">
        <v>109</v>
      </c>
      <c r="D18" s="72"/>
      <c r="E18" s="72" t="s">
        <v>197</v>
      </c>
      <c r="F18" s="72">
        <f>'Inputs Non-Residential'!D5</f>
        <v>0</v>
      </c>
      <c r="G18" s="8"/>
      <c r="H18" s="8" t="s">
        <v>111</v>
      </c>
      <c r="I18" s="8"/>
      <c r="J18" s="72" t="s">
        <v>197</v>
      </c>
      <c r="K18" s="72">
        <f>'Inputs Non-Residential'!D5</f>
        <v>0</v>
      </c>
      <c r="M18" s="72" t="s">
        <v>192</v>
      </c>
      <c r="N18" s="72"/>
      <c r="O18" s="72" t="s">
        <v>197</v>
      </c>
      <c r="P18" s="72">
        <f>'Inputs Non-Residential'!D5</f>
        <v>0</v>
      </c>
      <c r="R18" s="8" t="s">
        <v>105</v>
      </c>
      <c r="S18" s="8"/>
      <c r="T18" s="72" t="s">
        <v>197</v>
      </c>
      <c r="U18" s="78">
        <f>'Inputs Non-Residential'!D5</f>
        <v>0</v>
      </c>
    </row>
    <row r="19" spans="3:21" x14ac:dyDescent="0.3">
      <c r="C19" s="19" t="s">
        <v>170</v>
      </c>
      <c r="E19" s="14">
        <f>'Calculations Office'!C9</f>
        <v>0</v>
      </c>
      <c r="F19" s="14">
        <f>'Calculations Office'!G9</f>
        <v>0</v>
      </c>
      <c r="G19" s="14"/>
      <c r="H19" s="14" t="str">
        <f>C19</f>
        <v>Heating &amp; Cooling (Elec)</v>
      </c>
      <c r="I19" s="14"/>
      <c r="J19" s="14">
        <f>(E19*$J$2)/1000</f>
        <v>0</v>
      </c>
      <c r="K19" s="14">
        <f>(F19*$J$2)/1000</f>
        <v>0</v>
      </c>
      <c r="L19" s="14"/>
      <c r="M19" s="14" t="str">
        <f>H19</f>
        <v>Heating &amp; Cooling (Elec)</v>
      </c>
      <c r="N19" s="14"/>
      <c r="O19" s="14">
        <f t="shared" ref="O19:O24" si="2">(E19*$J$2)/1000</f>
        <v>0</v>
      </c>
      <c r="P19" s="14">
        <f>IF('Inputs Non-Residential'!D16="Whole Development",((F19*$J$4)/1000),((F19*$J$2)/1000))</f>
        <v>0</v>
      </c>
      <c r="R19" t="str">
        <f>C19</f>
        <v>Heating &amp; Cooling (Elec)</v>
      </c>
      <c r="T19" s="33">
        <f>E19*$T$2</f>
        <v>0</v>
      </c>
      <c r="U19" s="40">
        <f>F19*$T$2</f>
        <v>0</v>
      </c>
    </row>
    <row r="20" spans="3:21" x14ac:dyDescent="0.3">
      <c r="C20" s="19" t="s">
        <v>171</v>
      </c>
      <c r="E20" s="14">
        <f>'Calculations Office'!C17*0.277776</f>
        <v>0</v>
      </c>
      <c r="F20" s="14">
        <f>'Calculations Office'!G17*0.277776</f>
        <v>0</v>
      </c>
      <c r="G20" s="14"/>
      <c r="H20" s="14" t="str">
        <f>C20</f>
        <v>Heating &amp; Cooling (Gas)</v>
      </c>
      <c r="I20" s="14"/>
      <c r="J20" s="14">
        <f>('Calculations Office'!G17*J3)/1000</f>
        <v>0</v>
      </c>
      <c r="K20" s="14">
        <f>('Calculations Office'!G17*J3)/1000</f>
        <v>0</v>
      </c>
      <c r="L20" s="14"/>
      <c r="M20" s="14" t="str">
        <f>H20</f>
        <v>Heating &amp; Cooling (Gas)</v>
      </c>
      <c r="N20" s="14"/>
      <c r="O20" s="14">
        <f>J20</f>
        <v>0</v>
      </c>
      <c r="P20" s="14">
        <f>K20</f>
        <v>0</v>
      </c>
      <c r="R20" t="str">
        <f>C20</f>
        <v>Heating &amp; Cooling (Gas)</v>
      </c>
      <c r="T20" s="104">
        <f>'Calculations Office'!K17*Y2</f>
        <v>0</v>
      </c>
      <c r="U20" s="104">
        <f>'Calculations Office'!O17*Y2</f>
        <v>0</v>
      </c>
    </row>
    <row r="21" spans="3:21" x14ac:dyDescent="0.3">
      <c r="C21" s="19" t="s">
        <v>145</v>
      </c>
      <c r="E21" s="14">
        <f>'Calculations Office'!C21</f>
        <v>0</v>
      </c>
      <c r="F21" s="14">
        <f>'Calculations Office'!G21</f>
        <v>0</v>
      </c>
      <c r="G21" s="14"/>
      <c r="H21" t="s">
        <v>145</v>
      </c>
      <c r="J21" s="14">
        <f t="shared" ref="J21:K24" si="3">(E21*$J$2)/1000</f>
        <v>0</v>
      </c>
      <c r="K21" s="14">
        <f t="shared" si="3"/>
        <v>0</v>
      </c>
      <c r="L21" s="14"/>
      <c r="M21" t="s">
        <v>145</v>
      </c>
      <c r="O21" s="14">
        <f t="shared" si="2"/>
        <v>0</v>
      </c>
      <c r="P21" s="14">
        <f>IF('Inputs Non-Residential'!D16="Whole Development",((F21*$J$4)/1000),((F21*$J$2)/1000))</f>
        <v>0</v>
      </c>
      <c r="R21" t="s">
        <v>145</v>
      </c>
      <c r="T21" s="33">
        <f t="shared" ref="T21:U24" si="4">E21*$T$2</f>
        <v>0</v>
      </c>
      <c r="U21" s="40">
        <f t="shared" si="4"/>
        <v>0</v>
      </c>
    </row>
    <row r="22" spans="3:21" x14ac:dyDescent="0.3">
      <c r="C22" s="19" t="s">
        <v>97</v>
      </c>
      <c r="E22" s="14">
        <f>'Calculations Office'!C27</f>
        <v>0</v>
      </c>
      <c r="F22" s="14">
        <f>'Calculations Office'!G27</f>
        <v>0</v>
      </c>
      <c r="G22" s="14"/>
      <c r="H22" s="14" t="str">
        <f>C22</f>
        <v>Appliances</v>
      </c>
      <c r="I22" s="14"/>
      <c r="J22" s="14">
        <f t="shared" si="3"/>
        <v>0</v>
      </c>
      <c r="K22" s="14">
        <f t="shared" si="3"/>
        <v>0</v>
      </c>
      <c r="L22" s="14"/>
      <c r="M22" s="14" t="str">
        <f>H22</f>
        <v>Appliances</v>
      </c>
      <c r="N22" s="14"/>
      <c r="O22" s="14">
        <f t="shared" si="2"/>
        <v>0</v>
      </c>
      <c r="P22" s="14">
        <f>IF('Inputs Non-Residential'!D16="Whole Development",((F22*$J$4)/1000),((F22*$J$2)/1000))</f>
        <v>0</v>
      </c>
      <c r="R22" t="str">
        <f>C22</f>
        <v>Appliances</v>
      </c>
      <c r="T22" s="33">
        <f t="shared" si="4"/>
        <v>0</v>
      </c>
      <c r="U22" s="40">
        <f t="shared" si="4"/>
        <v>0</v>
      </c>
    </row>
    <row r="23" spans="3:21" x14ac:dyDescent="0.3">
      <c r="C23" s="19" t="s">
        <v>98</v>
      </c>
      <c r="E23" s="14">
        <f>'Calculations Office'!C33</f>
        <v>0</v>
      </c>
      <c r="F23" s="14">
        <f>'Calculations Office'!G33</f>
        <v>0</v>
      </c>
      <c r="G23" s="14"/>
      <c r="H23" s="14" t="str">
        <f>C23</f>
        <v>Lighting</v>
      </c>
      <c r="I23" s="14"/>
      <c r="J23" s="14">
        <f t="shared" si="3"/>
        <v>0</v>
      </c>
      <c r="K23" s="14">
        <f t="shared" si="3"/>
        <v>0</v>
      </c>
      <c r="L23" s="14"/>
      <c r="M23" s="14" t="str">
        <f>H23</f>
        <v>Lighting</v>
      </c>
      <c r="N23" s="14"/>
      <c r="O23" s="14">
        <f t="shared" si="2"/>
        <v>0</v>
      </c>
      <c r="P23" s="14">
        <f>IF('Inputs Non-Residential'!D16="Whole Development",((F23*$J$4)/1000),((F23*$J$2)/1000))</f>
        <v>0</v>
      </c>
      <c r="R23" t="str">
        <f>C23</f>
        <v>Lighting</v>
      </c>
      <c r="T23" s="33">
        <f t="shared" si="4"/>
        <v>0</v>
      </c>
      <c r="U23" s="40">
        <f t="shared" si="4"/>
        <v>0</v>
      </c>
    </row>
    <row r="24" spans="3:21" x14ac:dyDescent="0.3">
      <c r="C24" s="19" t="s">
        <v>99</v>
      </c>
      <c r="E24" s="14">
        <f>'Calculations Office'!C44</f>
        <v>0</v>
      </c>
      <c r="F24" s="14">
        <f>'Calculations Office'!G44</f>
        <v>0</v>
      </c>
      <c r="G24" s="14"/>
      <c r="H24" s="14" t="str">
        <f>C24</f>
        <v>Hot Water</v>
      </c>
      <c r="I24" s="14"/>
      <c r="J24" s="14">
        <f t="shared" si="3"/>
        <v>0</v>
      </c>
      <c r="K24" s="14">
        <f t="shared" si="3"/>
        <v>0</v>
      </c>
      <c r="L24" s="14"/>
      <c r="M24" s="14" t="str">
        <f>H24</f>
        <v>Hot Water</v>
      </c>
      <c r="N24" s="14"/>
      <c r="O24" s="14">
        <f t="shared" si="2"/>
        <v>0</v>
      </c>
      <c r="P24" s="14">
        <f>IF('Inputs Non-Residential'!D16="Whole Development",((F24*$J$4)/1000),((F24*$J$2)/1000))</f>
        <v>0</v>
      </c>
      <c r="R24" t="str">
        <f>C24</f>
        <v>Hot Water</v>
      </c>
      <c r="T24" s="33">
        <f t="shared" si="4"/>
        <v>0</v>
      </c>
      <c r="U24" s="40">
        <f t="shared" si="4"/>
        <v>0</v>
      </c>
    </row>
    <row r="25" spans="3:21" ht="15" thickBot="1" x14ac:dyDescent="0.35">
      <c r="C25" s="34" t="s">
        <v>94</v>
      </c>
      <c r="D25" s="38"/>
      <c r="E25" s="35">
        <f>SUM(E19:E24)</f>
        <v>0</v>
      </c>
      <c r="F25" s="35">
        <f>SUM(F19:F24)</f>
        <v>0</v>
      </c>
      <c r="G25" s="35"/>
      <c r="H25" s="35" t="str">
        <f>C25</f>
        <v>Total</v>
      </c>
      <c r="I25" s="35"/>
      <c r="J25" s="35">
        <f>SUM(J19:J24)</f>
        <v>0</v>
      </c>
      <c r="K25" s="35">
        <f>SUM(K19:K24)</f>
        <v>0</v>
      </c>
      <c r="L25" s="35"/>
      <c r="M25" s="35" t="str">
        <f>H25</f>
        <v>Total</v>
      </c>
      <c r="N25" s="35"/>
      <c r="O25" s="35">
        <f>SUM(O19:O24)</f>
        <v>0</v>
      </c>
      <c r="P25" s="35">
        <f>SUM(P19:P24)</f>
        <v>0</v>
      </c>
      <c r="Q25" s="38"/>
      <c r="R25" s="38" t="str">
        <f>C25</f>
        <v>Total</v>
      </c>
      <c r="S25" s="38"/>
      <c r="T25" s="39">
        <f>E25</f>
        <v>0</v>
      </c>
      <c r="U25" s="43">
        <f>F25</f>
        <v>0</v>
      </c>
    </row>
    <row r="26" spans="3:21" ht="15" thickBot="1" x14ac:dyDescent="0.35">
      <c r="C26" s="1"/>
      <c r="D26" s="1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"/>
      <c r="R26" s="1"/>
      <c r="S26" s="1"/>
      <c r="T26" s="77"/>
      <c r="U26" s="77"/>
    </row>
    <row r="27" spans="3:21" ht="17.399999999999999" x14ac:dyDescent="0.35">
      <c r="C27" s="130" t="s">
        <v>230</v>
      </c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2"/>
    </row>
    <row r="28" spans="3:21" ht="28.8" x14ac:dyDescent="0.3">
      <c r="C28" s="32" t="s">
        <v>109</v>
      </c>
      <c r="D28" s="72"/>
      <c r="E28" s="72" t="s">
        <v>197</v>
      </c>
      <c r="F28" s="72">
        <f>'Inputs Non-Residential'!D5</f>
        <v>0</v>
      </c>
      <c r="G28" s="8"/>
      <c r="H28" s="8" t="s">
        <v>111</v>
      </c>
      <c r="I28" s="8"/>
      <c r="J28" s="72" t="s">
        <v>197</v>
      </c>
      <c r="K28" s="72">
        <f>'Inputs Non-Residential'!D5</f>
        <v>0</v>
      </c>
      <c r="M28" s="72" t="s">
        <v>192</v>
      </c>
      <c r="N28" s="72"/>
      <c r="O28" s="72" t="s">
        <v>197</v>
      </c>
      <c r="P28" s="72">
        <f>'Inputs Non-Residential'!D5</f>
        <v>0</v>
      </c>
      <c r="R28" s="8" t="s">
        <v>105</v>
      </c>
      <c r="S28" s="8"/>
      <c r="T28" s="72" t="s">
        <v>197</v>
      </c>
      <c r="U28" s="78">
        <f>'Inputs Non-Residential'!D5</f>
        <v>0</v>
      </c>
    </row>
    <row r="29" spans="3:21" x14ac:dyDescent="0.3">
      <c r="C29" s="19" t="s">
        <v>170</v>
      </c>
      <c r="E29" s="14">
        <f>'Calculations Student Accom'!C9</f>
        <v>0</v>
      </c>
      <c r="F29" s="14">
        <f>'Calculations Student Accom'!G9</f>
        <v>0</v>
      </c>
      <c r="G29" s="14"/>
      <c r="H29" s="14" t="str">
        <f>C29</f>
        <v>Heating &amp; Cooling (Elec)</v>
      </c>
      <c r="I29" s="14"/>
      <c r="J29" s="14">
        <f>(E29*$J$2)/1000</f>
        <v>0</v>
      </c>
      <c r="K29" s="14">
        <f>(F29*$J$2)/1000</f>
        <v>0</v>
      </c>
      <c r="L29" s="14"/>
      <c r="M29" s="14" t="str">
        <f>H29</f>
        <v>Heating &amp; Cooling (Elec)</v>
      </c>
      <c r="N29" s="14"/>
      <c r="O29" s="14">
        <f>(E29*$J$2)/1000</f>
        <v>0</v>
      </c>
      <c r="P29" s="14">
        <f>IF('Inputs Non-Residential'!$D$16="Whole Development",((F29*$J$4)/1000),((F29*$J$2)/1000))</f>
        <v>0</v>
      </c>
      <c r="R29" t="str">
        <f>C29</f>
        <v>Heating &amp; Cooling (Elec)</v>
      </c>
      <c r="T29" s="33">
        <f>E29*$T$2</f>
        <v>0</v>
      </c>
      <c r="U29" s="40">
        <f>F29*$T$2</f>
        <v>0</v>
      </c>
    </row>
    <row r="30" spans="3:21" x14ac:dyDescent="0.3">
      <c r="C30" s="19" t="s">
        <v>171</v>
      </c>
      <c r="E30" s="14">
        <f>'Calculations Student Accom'!C17*0.277776</f>
        <v>0</v>
      </c>
      <c r="F30" s="14">
        <f>'Calculations Student Accom'!G17*0.277776</f>
        <v>0</v>
      </c>
      <c r="G30" s="14"/>
      <c r="H30" t="s">
        <v>171</v>
      </c>
      <c r="J30" s="14">
        <f>('Calculations Student Accom'!C17*J3)/1000</f>
        <v>0</v>
      </c>
      <c r="K30" s="14">
        <f>('Calculations Student Accom'!G17*J3)/1000</f>
        <v>0</v>
      </c>
      <c r="L30" s="14"/>
      <c r="M30" t="s">
        <v>171</v>
      </c>
      <c r="O30" s="14">
        <f>J30</f>
        <v>0</v>
      </c>
      <c r="P30" s="14">
        <f>K30</f>
        <v>0</v>
      </c>
      <c r="R30" t="s">
        <v>171</v>
      </c>
      <c r="T30" s="104">
        <f>'Calculations Student Accom'!C17*$Y$2</f>
        <v>0</v>
      </c>
      <c r="U30" s="40">
        <f>'Calculations Student Accom'!G17*$Y$2</f>
        <v>0</v>
      </c>
    </row>
    <row r="31" spans="3:21" x14ac:dyDescent="0.3">
      <c r="C31" s="19" t="s">
        <v>145</v>
      </c>
      <c r="E31" s="14">
        <f>'Calculations Student Accom'!C21</f>
        <v>0</v>
      </c>
      <c r="F31" s="14">
        <f>'Calculations Student Accom'!G21</f>
        <v>0</v>
      </c>
      <c r="G31" s="14"/>
      <c r="H31" t="s">
        <v>145</v>
      </c>
      <c r="J31" s="14">
        <f t="shared" ref="J31:K34" si="5">(E31*$J$2)/1000</f>
        <v>0</v>
      </c>
      <c r="K31" s="14">
        <f t="shared" si="5"/>
        <v>0</v>
      </c>
      <c r="L31" s="14"/>
      <c r="M31" t="s">
        <v>145</v>
      </c>
      <c r="O31" s="14">
        <f>(E31*$J$2)/1000</f>
        <v>0</v>
      </c>
      <c r="P31" s="14">
        <f>IF('Inputs Non-Residential'!$D$16="Whole Development",((F31*$J$4)/1000),((F31*$J$2)/1000))</f>
        <v>0</v>
      </c>
      <c r="R31" t="s">
        <v>145</v>
      </c>
      <c r="T31" s="33">
        <f t="shared" ref="T31:T34" si="6">E31*$T$2</f>
        <v>0</v>
      </c>
      <c r="U31" s="40">
        <f>F31*$T$2</f>
        <v>0</v>
      </c>
    </row>
    <row r="32" spans="3:21" x14ac:dyDescent="0.3">
      <c r="C32" s="19" t="s">
        <v>97</v>
      </c>
      <c r="E32" s="14">
        <f>'Calculations Student Accom'!C27</f>
        <v>0</v>
      </c>
      <c r="F32" s="14">
        <f>'Calculations Student Accom'!G27</f>
        <v>0</v>
      </c>
      <c r="G32" s="14"/>
      <c r="H32" t="s">
        <v>97</v>
      </c>
      <c r="J32" s="14">
        <f t="shared" si="5"/>
        <v>0</v>
      </c>
      <c r="K32" s="14">
        <f t="shared" si="5"/>
        <v>0</v>
      </c>
      <c r="L32" s="14"/>
      <c r="M32" t="s">
        <v>97</v>
      </c>
      <c r="O32" s="14"/>
      <c r="P32" s="14">
        <f>IF('Inputs Non-Residential'!$D$16="Whole Development",((F32*$J$4)/1000),((F32*$J$2)/1000))</f>
        <v>0</v>
      </c>
      <c r="R32" t="s">
        <v>97</v>
      </c>
      <c r="T32" s="33">
        <f t="shared" si="6"/>
        <v>0</v>
      </c>
      <c r="U32" s="40">
        <f>F32*$T$2</f>
        <v>0</v>
      </c>
    </row>
    <row r="33" spans="3:21" x14ac:dyDescent="0.3">
      <c r="C33" s="19" t="s">
        <v>98</v>
      </c>
      <c r="E33" s="14">
        <f>'Calculations Student Accom'!C33</f>
        <v>0</v>
      </c>
      <c r="F33" s="14">
        <f>'Calculations Student Accom'!G33</f>
        <v>0</v>
      </c>
      <c r="G33" s="14"/>
      <c r="H33" s="14" t="str">
        <f>C33</f>
        <v>Lighting</v>
      </c>
      <c r="I33" s="14"/>
      <c r="J33" s="14">
        <f t="shared" si="5"/>
        <v>0</v>
      </c>
      <c r="K33" s="14">
        <f t="shared" si="5"/>
        <v>0</v>
      </c>
      <c r="L33" s="14"/>
      <c r="M33" s="14" t="str">
        <f>H33</f>
        <v>Lighting</v>
      </c>
      <c r="N33" s="14"/>
      <c r="O33" s="14">
        <f>(E33*$J$2)/1000</f>
        <v>0</v>
      </c>
      <c r="P33" s="14">
        <f>IF('Inputs Non-Residential'!$D$16="Whole Development",((F33*$J$4)/1000),((F33*$J$2)/1000))</f>
        <v>0</v>
      </c>
      <c r="R33" t="str">
        <f>C33</f>
        <v>Lighting</v>
      </c>
      <c r="T33" s="33">
        <f t="shared" si="6"/>
        <v>0</v>
      </c>
      <c r="U33" s="40">
        <f t="shared" ref="U33:U34" si="7">F33*$T$2</f>
        <v>0</v>
      </c>
    </row>
    <row r="34" spans="3:21" x14ac:dyDescent="0.3">
      <c r="C34" s="19" t="s">
        <v>99</v>
      </c>
      <c r="E34" s="14">
        <f>'Calculations Student Accom'!C44</f>
        <v>0</v>
      </c>
      <c r="F34" s="14">
        <f>'Calculations Student Accom'!G44</f>
        <v>0</v>
      </c>
      <c r="G34" s="14"/>
      <c r="H34" s="14" t="str">
        <f>C34</f>
        <v>Hot Water</v>
      </c>
      <c r="I34" s="14"/>
      <c r="J34" s="14">
        <f t="shared" si="5"/>
        <v>0</v>
      </c>
      <c r="K34" s="14">
        <f t="shared" si="5"/>
        <v>0</v>
      </c>
      <c r="L34" s="14"/>
      <c r="M34" s="14" t="str">
        <f>H34</f>
        <v>Hot Water</v>
      </c>
      <c r="N34" s="14"/>
      <c r="O34" s="14">
        <f>(E34*$J$2)/1000</f>
        <v>0</v>
      </c>
      <c r="P34" s="14">
        <f>IF('Inputs Non-Residential'!$D$16="Whole Development",((F34*$J$4)/1000),((F34*$J$2)/1000))</f>
        <v>0</v>
      </c>
      <c r="R34" t="str">
        <f>C34</f>
        <v>Hot Water</v>
      </c>
      <c r="T34" s="33">
        <f t="shared" si="6"/>
        <v>0</v>
      </c>
      <c r="U34" s="40">
        <f t="shared" si="7"/>
        <v>0</v>
      </c>
    </row>
    <row r="35" spans="3:21" x14ac:dyDescent="0.3">
      <c r="C35" s="19" t="s">
        <v>28</v>
      </c>
      <c r="E35" s="14">
        <f>'Calculations Student Accom'!C52*0.277776</f>
        <v>0</v>
      </c>
      <c r="F35" s="14">
        <f>IF('Calculations Student Accom'!G48="Gas",'Calculations Student Accom'!G52*0.277776,'Calculations Student Accom'!G52)</f>
        <v>0</v>
      </c>
      <c r="G35" s="14"/>
      <c r="H35" s="14" t="str">
        <f>C35</f>
        <v>Cooktops</v>
      </c>
      <c r="I35" s="14"/>
      <c r="J35" s="14">
        <f>(E35*3.6*$J$3)/1000</f>
        <v>0</v>
      </c>
      <c r="K35" s="14">
        <f>IF('Calculations Retail'!G62="Gas",((F35*3.6*$J$3)/1000),((F35*$J$2)/1000))</f>
        <v>0</v>
      </c>
      <c r="L35" s="14"/>
      <c r="M35" s="14" t="str">
        <f>H35</f>
        <v>Cooktops</v>
      </c>
      <c r="N35" s="14"/>
      <c r="O35" s="14">
        <f>J35</f>
        <v>0</v>
      </c>
      <c r="P35" s="14">
        <f>IF('Calculations Student Accom'!G48="Gas",(K35),IF('Inputs Non-Residential'!D16="Whole Development",((F35*$J$4)/1000),((F35*$J$2)/1000)))</f>
        <v>0</v>
      </c>
      <c r="R35" t="str">
        <f>C35</f>
        <v>Cooktops</v>
      </c>
      <c r="T35" s="41">
        <f>E35*3.6*$Y$2</f>
        <v>0</v>
      </c>
      <c r="U35" s="42">
        <f>IF('Calculations Student Accom'!G48="Gas",'Totals Non-Residential'!F35*3.6*$Y$2,'Totals Non-Residential'!F35*$T$2)</f>
        <v>0</v>
      </c>
    </row>
    <row r="36" spans="3:21" ht="15" thickBot="1" x14ac:dyDescent="0.35">
      <c r="C36" s="34" t="s">
        <v>94</v>
      </c>
      <c r="D36" s="38"/>
      <c r="E36" s="35">
        <f>SUM(E29:E35)</f>
        <v>0</v>
      </c>
      <c r="F36" s="35">
        <f>SUM(F29:F35)</f>
        <v>0</v>
      </c>
      <c r="G36" s="35"/>
      <c r="H36" s="35" t="str">
        <f>C36</f>
        <v>Total</v>
      </c>
      <c r="I36" s="35"/>
      <c r="J36" s="35">
        <f>SUM(J29:J35)</f>
        <v>0</v>
      </c>
      <c r="K36" s="35">
        <f>SUM(K29:K35)</f>
        <v>0</v>
      </c>
      <c r="L36" s="35"/>
      <c r="M36" s="35" t="str">
        <f>H36</f>
        <v>Total</v>
      </c>
      <c r="N36" s="35"/>
      <c r="O36" s="35">
        <f>SUM(O29:O35)</f>
        <v>0</v>
      </c>
      <c r="P36" s="35">
        <f>SUM(P29:P35)</f>
        <v>0</v>
      </c>
      <c r="Q36" s="38"/>
      <c r="R36" s="38" t="str">
        <f>C36</f>
        <v>Total</v>
      </c>
      <c r="S36" s="38"/>
      <c r="T36" s="39">
        <f>E36*$T$2</f>
        <v>0</v>
      </c>
      <c r="U36" s="43">
        <f>F36*$T$2</f>
        <v>0</v>
      </c>
    </row>
    <row r="37" spans="3:21" ht="15" thickBot="1" x14ac:dyDescent="0.35">
      <c r="C37" s="1"/>
      <c r="D37" s="1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"/>
      <c r="R37" s="1"/>
      <c r="S37" s="1"/>
      <c r="T37" s="77"/>
      <c r="U37" s="77"/>
    </row>
    <row r="38" spans="3:21" ht="17.399999999999999" x14ac:dyDescent="0.35">
      <c r="C38" s="130" t="s">
        <v>208</v>
      </c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2"/>
    </row>
    <row r="39" spans="3:21" ht="28.8" x14ac:dyDescent="0.3">
      <c r="C39" s="32" t="s">
        <v>109</v>
      </c>
      <c r="D39" s="72"/>
      <c r="E39" s="72" t="s">
        <v>197</v>
      </c>
      <c r="F39" s="72">
        <f>'Inputs Non-Residential'!D5</f>
        <v>0</v>
      </c>
      <c r="G39" s="8"/>
      <c r="H39" s="8" t="s">
        <v>111</v>
      </c>
      <c r="I39" s="8"/>
      <c r="J39" s="72" t="s">
        <v>197</v>
      </c>
      <c r="K39" s="72">
        <f>'Inputs Non-Residential'!D5</f>
        <v>0</v>
      </c>
      <c r="M39" s="72" t="s">
        <v>192</v>
      </c>
      <c r="N39" s="72"/>
      <c r="O39" s="72" t="s">
        <v>197</v>
      </c>
      <c r="P39" s="72">
        <f>'Inputs Non-Residential'!D5</f>
        <v>0</v>
      </c>
      <c r="R39" s="8" t="s">
        <v>105</v>
      </c>
      <c r="S39" s="8"/>
      <c r="T39" s="72" t="s">
        <v>197</v>
      </c>
      <c r="U39" s="78">
        <f>'Inputs Non-Residential'!D5</f>
        <v>0</v>
      </c>
    </row>
    <row r="40" spans="3:21" x14ac:dyDescent="0.3">
      <c r="C40" s="19" t="s">
        <v>170</v>
      </c>
      <c r="E40" s="14">
        <f>'Calculations Educational'!C9</f>
        <v>0</v>
      </c>
      <c r="F40" s="14">
        <f>'Calculations Educational'!G9</f>
        <v>0</v>
      </c>
      <c r="G40" s="14"/>
      <c r="H40" s="14" t="str">
        <f>C40</f>
        <v>Heating &amp; Cooling (Elec)</v>
      </c>
      <c r="I40" s="14"/>
      <c r="J40" s="14">
        <f>(E40*$J$2)/1000</f>
        <v>0</v>
      </c>
      <c r="K40" s="14">
        <f>(F40*$J$2)/1000</f>
        <v>0</v>
      </c>
      <c r="L40" s="14"/>
      <c r="M40" s="14" t="str">
        <f>H40</f>
        <v>Heating &amp; Cooling (Elec)</v>
      </c>
      <c r="N40" s="14"/>
      <c r="O40" s="14">
        <f>(E40*$J$2)/1000</f>
        <v>0</v>
      </c>
      <c r="P40" s="14">
        <f>IF('Inputs Non-Residential'!$D$16="Whole Development",((F40*$J$4)/1000),((F40*$J$2)/1000))</f>
        <v>0</v>
      </c>
      <c r="R40" t="str">
        <f>C40</f>
        <v>Heating &amp; Cooling (Elec)</v>
      </c>
      <c r="T40" s="33">
        <f>E40*$T$2</f>
        <v>0</v>
      </c>
      <c r="U40" s="40">
        <f>F40*$T$2</f>
        <v>0</v>
      </c>
    </row>
    <row r="41" spans="3:21" x14ac:dyDescent="0.3">
      <c r="C41" s="19" t="s">
        <v>171</v>
      </c>
      <c r="E41" s="14">
        <f>'Calculations Educational'!C17*0.277776</f>
        <v>0</v>
      </c>
      <c r="F41" s="14">
        <f>'Calculations Educational'!G17*0.277776</f>
        <v>0</v>
      </c>
      <c r="G41" s="14"/>
      <c r="H41" t="s">
        <v>171</v>
      </c>
      <c r="J41" s="14">
        <f>('Calculations Educational'!C17*J3)/1000</f>
        <v>0</v>
      </c>
      <c r="K41" s="14">
        <f>('Calculations Educational'!G17*J3)/1000</f>
        <v>0</v>
      </c>
      <c r="L41" s="14"/>
      <c r="M41" t="s">
        <v>171</v>
      </c>
      <c r="O41" s="14">
        <f>J41</f>
        <v>0</v>
      </c>
      <c r="P41" s="14">
        <f>K41</f>
        <v>0</v>
      </c>
      <c r="R41" t="s">
        <v>171</v>
      </c>
      <c r="T41" s="104">
        <f>'Calculations Educational'!C17*$Y$2</f>
        <v>0</v>
      </c>
      <c r="U41" s="40">
        <f>'Calculations Educational'!G17*$Y$2</f>
        <v>0</v>
      </c>
    </row>
    <row r="42" spans="3:21" x14ac:dyDescent="0.3">
      <c r="C42" s="19" t="s">
        <v>145</v>
      </c>
      <c r="E42" s="14">
        <f>'Calculations Educational'!C21</f>
        <v>0</v>
      </c>
      <c r="F42" s="14">
        <f>'Calculations Educational'!G21</f>
        <v>0</v>
      </c>
      <c r="G42" s="14"/>
      <c r="H42" t="s">
        <v>145</v>
      </c>
      <c r="J42" s="14">
        <f t="shared" ref="J42:K45" si="8">(E42*$J$2)/1000</f>
        <v>0</v>
      </c>
      <c r="K42" s="14">
        <f t="shared" si="8"/>
        <v>0</v>
      </c>
      <c r="L42" s="14"/>
      <c r="M42" t="s">
        <v>145</v>
      </c>
      <c r="O42" s="14">
        <f>(E42*$J$2)/1000</f>
        <v>0</v>
      </c>
      <c r="P42" s="14">
        <f>IF('Inputs Non-Residential'!$D$16="Whole Development",((F42*$J$4)/1000),((F42*$J$2)/1000))</f>
        <v>0</v>
      </c>
      <c r="R42" t="s">
        <v>145</v>
      </c>
      <c r="T42" s="33">
        <f t="shared" ref="T42:T45" si="9">E42*$T$2</f>
        <v>0</v>
      </c>
      <c r="U42" s="40">
        <f t="shared" ref="U42:U45" si="10">F42*$T$2</f>
        <v>0</v>
      </c>
    </row>
    <row r="43" spans="3:21" x14ac:dyDescent="0.3">
      <c r="C43" s="19" t="s">
        <v>97</v>
      </c>
      <c r="E43" s="14">
        <f>'Calculations Educational'!C27</f>
        <v>0</v>
      </c>
      <c r="F43" s="14">
        <f>'Calculations Educational'!G27</f>
        <v>0</v>
      </c>
      <c r="G43" s="14"/>
      <c r="H43" t="s">
        <v>97</v>
      </c>
      <c r="J43" s="14">
        <f t="shared" si="8"/>
        <v>0</v>
      </c>
      <c r="K43" s="14">
        <f t="shared" si="8"/>
        <v>0</v>
      </c>
      <c r="L43" s="14"/>
      <c r="M43" t="s">
        <v>97</v>
      </c>
      <c r="O43" s="14">
        <f>(E43*$J$2)/1000</f>
        <v>0</v>
      </c>
      <c r="P43" s="14">
        <f>IF('Inputs Non-Residential'!$D$16="Whole Development",((F43*$J$4)/1000),((F43*$J$2)/1000))</f>
        <v>0</v>
      </c>
      <c r="R43" t="s">
        <v>97</v>
      </c>
      <c r="T43" s="33">
        <f t="shared" si="9"/>
        <v>0</v>
      </c>
      <c r="U43" s="40">
        <f t="shared" si="10"/>
        <v>0</v>
      </c>
    </row>
    <row r="44" spans="3:21" x14ac:dyDescent="0.3">
      <c r="C44" s="19" t="s">
        <v>98</v>
      </c>
      <c r="E44" s="14">
        <f>'Calculations Retail'!C57</f>
        <v>0</v>
      </c>
      <c r="F44" s="14">
        <f>'Calculations Retail'!G57</f>
        <v>0</v>
      </c>
      <c r="G44" s="14"/>
      <c r="H44" s="14" t="str">
        <f>C44</f>
        <v>Lighting</v>
      </c>
      <c r="I44" s="14"/>
      <c r="J44" s="14">
        <f t="shared" si="8"/>
        <v>0</v>
      </c>
      <c r="K44" s="14">
        <f t="shared" si="8"/>
        <v>0</v>
      </c>
      <c r="L44" s="14"/>
      <c r="M44" s="14" t="str">
        <f>H44</f>
        <v>Lighting</v>
      </c>
      <c r="N44" s="14"/>
      <c r="O44" s="14">
        <f>(E44*$J$2)/1000</f>
        <v>0</v>
      </c>
      <c r="P44" s="14">
        <f>IF('Inputs Non-Residential'!$D$16="Whole Development",((F44*$J$4)/1000),((F44*$J$2)/1000))</f>
        <v>0</v>
      </c>
      <c r="R44" t="str">
        <f>C44</f>
        <v>Lighting</v>
      </c>
      <c r="T44" s="33">
        <f t="shared" si="9"/>
        <v>0</v>
      </c>
      <c r="U44" s="40">
        <f t="shared" si="10"/>
        <v>0</v>
      </c>
    </row>
    <row r="45" spans="3:21" x14ac:dyDescent="0.3">
      <c r="C45" s="19" t="s">
        <v>99</v>
      </c>
      <c r="E45" s="14">
        <f>'Calculations Educational'!C44</f>
        <v>0</v>
      </c>
      <c r="F45" s="14">
        <f>'Calculations Educational'!G44</f>
        <v>0</v>
      </c>
      <c r="G45" s="14"/>
      <c r="H45" s="14" t="str">
        <f>C45</f>
        <v>Hot Water</v>
      </c>
      <c r="I45" s="14"/>
      <c r="J45" s="14">
        <f t="shared" si="8"/>
        <v>0</v>
      </c>
      <c r="K45" s="14">
        <f t="shared" si="8"/>
        <v>0</v>
      </c>
      <c r="L45" s="14"/>
      <c r="M45" s="14" t="str">
        <f>H45</f>
        <v>Hot Water</v>
      </c>
      <c r="N45" s="14"/>
      <c r="O45" s="14">
        <f>(E45*$J$2)/1000</f>
        <v>0</v>
      </c>
      <c r="P45" s="14">
        <f>IF('Inputs Non-Residential'!$D$16="Whole Development",((F45*$J$4)/1000),((F45*$J$2)/1000))</f>
        <v>0</v>
      </c>
      <c r="R45" t="str">
        <f>C45</f>
        <v>Hot Water</v>
      </c>
      <c r="T45" s="33">
        <f t="shared" si="9"/>
        <v>0</v>
      </c>
      <c r="U45" s="40">
        <f t="shared" si="10"/>
        <v>0</v>
      </c>
    </row>
    <row r="46" spans="3:21" ht="15" thickBot="1" x14ac:dyDescent="0.35">
      <c r="C46" s="34" t="s">
        <v>94</v>
      </c>
      <c r="D46" s="38"/>
      <c r="E46" s="35">
        <f>SUM(E40:E45)</f>
        <v>0</v>
      </c>
      <c r="F46" s="35">
        <f>SUM(F40:F45)</f>
        <v>0</v>
      </c>
      <c r="G46" s="35"/>
      <c r="H46" s="35" t="str">
        <f>C46</f>
        <v>Total</v>
      </c>
      <c r="I46" s="35"/>
      <c r="J46" s="35">
        <f>SUM(J40:J45)</f>
        <v>0</v>
      </c>
      <c r="K46" s="35">
        <f>SUM(K40:K45)</f>
        <v>0</v>
      </c>
      <c r="L46" s="35"/>
      <c r="M46" s="35" t="str">
        <f>H46</f>
        <v>Total</v>
      </c>
      <c r="N46" s="35"/>
      <c r="O46" s="35">
        <f>SUM(O40:O45)</f>
        <v>0</v>
      </c>
      <c r="P46" s="35">
        <f>SUM(P40:P45)</f>
        <v>0</v>
      </c>
      <c r="Q46" s="38"/>
      <c r="R46" s="38" t="str">
        <f>C46</f>
        <v>Total</v>
      </c>
      <c r="S46" s="38"/>
      <c r="T46" s="39">
        <f>E46*$T$2</f>
        <v>0</v>
      </c>
      <c r="U46" s="43">
        <f>F46*$T$2</f>
        <v>0</v>
      </c>
    </row>
    <row r="47" spans="3:21" ht="15" thickBot="1" x14ac:dyDescent="0.35">
      <c r="C47" s="1"/>
      <c r="D47" s="1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"/>
      <c r="R47" s="1"/>
      <c r="S47" s="1"/>
      <c r="T47" s="77"/>
      <c r="U47" s="77"/>
    </row>
    <row r="48" spans="3:21" ht="17.399999999999999" x14ac:dyDescent="0.35">
      <c r="C48" s="130" t="s">
        <v>207</v>
      </c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2"/>
    </row>
    <row r="49" spans="3:21" ht="28.8" x14ac:dyDescent="0.3">
      <c r="C49" s="32" t="s">
        <v>109</v>
      </c>
      <c r="D49" s="72"/>
      <c r="E49" s="72" t="s">
        <v>197</v>
      </c>
      <c r="F49" s="72">
        <f>'Inputs Non-Residential'!D5</f>
        <v>0</v>
      </c>
      <c r="G49" s="8"/>
      <c r="H49" s="8" t="s">
        <v>111</v>
      </c>
      <c r="I49" s="8"/>
      <c r="J49" s="72" t="s">
        <v>197</v>
      </c>
      <c r="K49" s="72">
        <f>'Inputs Non-Residential'!D5</f>
        <v>0</v>
      </c>
      <c r="M49" s="72" t="s">
        <v>192</v>
      </c>
      <c r="N49" s="72"/>
      <c r="O49" s="72" t="s">
        <v>197</v>
      </c>
      <c r="P49" s="72">
        <f>'Inputs Non-Residential'!D5</f>
        <v>0</v>
      </c>
      <c r="R49" s="8" t="s">
        <v>105</v>
      </c>
      <c r="S49" s="8"/>
      <c r="T49" s="72" t="s">
        <v>197</v>
      </c>
      <c r="U49" s="78">
        <f>'Inputs Non-Residential'!D5</f>
        <v>0</v>
      </c>
    </row>
    <row r="50" spans="3:21" x14ac:dyDescent="0.3">
      <c r="C50" s="19" t="s">
        <v>170</v>
      </c>
      <c r="E50" s="14">
        <f>'Calculations Aged Care'!C9</f>
        <v>0</v>
      </c>
      <c r="F50" s="14">
        <f>'Calculations Aged Care'!G9</f>
        <v>0</v>
      </c>
      <c r="G50" s="14"/>
      <c r="H50" s="14" t="str">
        <f>C50</f>
        <v>Heating &amp; Cooling (Elec)</v>
      </c>
      <c r="I50" s="14"/>
      <c r="J50" s="14">
        <f>(E50*$J$2)/1000</f>
        <v>0</v>
      </c>
      <c r="K50" s="14">
        <f>(F50*$J$2)/1000</f>
        <v>0</v>
      </c>
      <c r="L50" s="14"/>
      <c r="M50" s="14" t="str">
        <f>H50</f>
        <v>Heating &amp; Cooling (Elec)</v>
      </c>
      <c r="N50" s="14"/>
      <c r="O50" s="14">
        <f>(E50*$J$2)/1000</f>
        <v>0</v>
      </c>
      <c r="P50" s="14">
        <f>IF('Inputs Non-Residential'!$D$16="Whole Development",((F50*$J$4)/1000),((F50*$J$2)/1000))</f>
        <v>0</v>
      </c>
      <c r="R50" t="str">
        <f>C50</f>
        <v>Heating &amp; Cooling (Elec)</v>
      </c>
      <c r="T50" s="33">
        <f>E50*$T$2</f>
        <v>0</v>
      </c>
      <c r="U50" s="40">
        <f>F50*$T$2</f>
        <v>0</v>
      </c>
    </row>
    <row r="51" spans="3:21" x14ac:dyDescent="0.3">
      <c r="C51" s="19" t="s">
        <v>171</v>
      </c>
      <c r="E51" s="14">
        <f>'Calculations Aged Care'!C17*0.277776</f>
        <v>0</v>
      </c>
      <c r="F51" s="14">
        <f>'Calculations Aged Care'!G17*0.277776</f>
        <v>0</v>
      </c>
      <c r="G51" s="14"/>
      <c r="H51" t="s">
        <v>171</v>
      </c>
      <c r="J51" s="14">
        <f>('Calculations Aged Care'!C17*J3)/1000</f>
        <v>0</v>
      </c>
      <c r="K51" s="14">
        <f>('Calculations Aged Care'!G17*J3)/1000</f>
        <v>0</v>
      </c>
      <c r="L51" s="14"/>
      <c r="M51" t="s">
        <v>171</v>
      </c>
      <c r="O51" s="14">
        <f>J51</f>
        <v>0</v>
      </c>
      <c r="P51" s="14">
        <f>K51</f>
        <v>0</v>
      </c>
      <c r="R51" t="s">
        <v>171</v>
      </c>
      <c r="T51" s="104">
        <f>'Calculations Aged Care'!C17*$Y$2</f>
        <v>0</v>
      </c>
      <c r="U51" s="40">
        <f>'Calculations Aged Care'!G17*$Y$2</f>
        <v>0</v>
      </c>
    </row>
    <row r="52" spans="3:21" x14ac:dyDescent="0.3">
      <c r="C52" s="19" t="s">
        <v>145</v>
      </c>
      <c r="E52" s="14">
        <f>'Calculations Aged Care'!C21</f>
        <v>0</v>
      </c>
      <c r="F52" s="14">
        <f>'Calculations Aged Care'!G21</f>
        <v>0</v>
      </c>
      <c r="G52" s="14"/>
      <c r="H52" t="s">
        <v>145</v>
      </c>
      <c r="J52" s="14">
        <f t="shared" ref="J52:K55" si="11">(E52*$J$2)/1000</f>
        <v>0</v>
      </c>
      <c r="K52" s="14">
        <f t="shared" si="11"/>
        <v>0</v>
      </c>
      <c r="L52" s="14"/>
      <c r="M52" t="s">
        <v>145</v>
      </c>
      <c r="O52" s="14">
        <f>(E52*$J$2)/1000</f>
        <v>0</v>
      </c>
      <c r="P52" s="14">
        <f>IF('Inputs Non-Residential'!$D$16="Whole Development",((F52*$J$4)/1000),((F52*$J$2)/1000))</f>
        <v>0</v>
      </c>
      <c r="R52" t="s">
        <v>145</v>
      </c>
      <c r="T52" s="33">
        <f t="shared" ref="T52:T55" si="12">E52*$T$2</f>
        <v>0</v>
      </c>
      <c r="U52" s="40">
        <f t="shared" ref="U52:U55" si="13">F52*$T$2</f>
        <v>0</v>
      </c>
    </row>
    <row r="53" spans="3:21" x14ac:dyDescent="0.3">
      <c r="C53" s="19" t="s">
        <v>97</v>
      </c>
      <c r="E53" s="14">
        <f>'Calculations Aged Care'!C27</f>
        <v>0</v>
      </c>
      <c r="F53" s="14">
        <f>'Calculations Aged Care'!G27</f>
        <v>0</v>
      </c>
      <c r="G53" s="14"/>
      <c r="H53" t="s">
        <v>97</v>
      </c>
      <c r="J53" s="14">
        <f t="shared" si="11"/>
        <v>0</v>
      </c>
      <c r="K53" s="14">
        <f t="shared" si="11"/>
        <v>0</v>
      </c>
      <c r="L53" s="14"/>
      <c r="M53" t="s">
        <v>97</v>
      </c>
      <c r="O53" s="14">
        <f>(E53*$J$2)/1000</f>
        <v>0</v>
      </c>
      <c r="P53" s="14">
        <f>IF('Inputs Non-Residential'!$D$16="Whole Development",((F53*$J$4)/1000),((F53*$J$2)/1000))</f>
        <v>0</v>
      </c>
      <c r="R53" t="s">
        <v>235</v>
      </c>
      <c r="T53" s="33">
        <f t="shared" si="12"/>
        <v>0</v>
      </c>
      <c r="U53" s="40">
        <f t="shared" si="13"/>
        <v>0</v>
      </c>
    </row>
    <row r="54" spans="3:21" x14ac:dyDescent="0.3">
      <c r="C54" s="19" t="s">
        <v>98</v>
      </c>
      <c r="E54" s="14">
        <f>'Calculations Aged Care'!C33</f>
        <v>0</v>
      </c>
      <c r="F54" s="14">
        <f>'Calculations Aged Care'!G33</f>
        <v>0</v>
      </c>
      <c r="G54" s="14"/>
      <c r="H54" s="14" t="str">
        <f>C54</f>
        <v>Lighting</v>
      </c>
      <c r="I54" s="14"/>
      <c r="J54" s="14">
        <f t="shared" si="11"/>
        <v>0</v>
      </c>
      <c r="K54" s="14">
        <f t="shared" si="11"/>
        <v>0</v>
      </c>
      <c r="L54" s="14"/>
      <c r="M54" s="14" t="str">
        <f>H54</f>
        <v>Lighting</v>
      </c>
      <c r="N54" s="14"/>
      <c r="O54" s="14">
        <f>(E54*$J$2)/1000</f>
        <v>0</v>
      </c>
      <c r="P54" s="14">
        <f>IF('Inputs Non-Residential'!$D$16="Whole Development",((F54*$J$4)/1000),((F54*$J$2)/1000))</f>
        <v>0</v>
      </c>
      <c r="R54" t="str">
        <f>C54</f>
        <v>Lighting</v>
      </c>
      <c r="T54" s="33">
        <f t="shared" si="12"/>
        <v>0</v>
      </c>
      <c r="U54" s="40">
        <f t="shared" si="13"/>
        <v>0</v>
      </c>
    </row>
    <row r="55" spans="3:21" x14ac:dyDescent="0.3">
      <c r="C55" s="19" t="s">
        <v>99</v>
      </c>
      <c r="E55" s="14">
        <f>'Calculations Aged Care'!C44</f>
        <v>0</v>
      </c>
      <c r="F55" s="14">
        <f>'Calculations Aged Care'!G44</f>
        <v>0</v>
      </c>
      <c r="G55" s="14"/>
      <c r="H55" s="14" t="str">
        <f>C55</f>
        <v>Hot Water</v>
      </c>
      <c r="I55" s="14"/>
      <c r="J55" s="14">
        <f t="shared" si="11"/>
        <v>0</v>
      </c>
      <c r="K55" s="14">
        <f t="shared" si="11"/>
        <v>0</v>
      </c>
      <c r="L55" s="14"/>
      <c r="M55" s="14" t="str">
        <f>H55</f>
        <v>Hot Water</v>
      </c>
      <c r="N55" s="14"/>
      <c r="O55" s="14">
        <f>(E55*$J$2)/1000</f>
        <v>0</v>
      </c>
      <c r="P55" s="14">
        <f>IF('Inputs Non-Residential'!$D$16="Whole Development",((F55*$J$4)/1000),((F55*$J$2)/1000))</f>
        <v>0</v>
      </c>
      <c r="R55" t="str">
        <f>C55</f>
        <v>Hot Water</v>
      </c>
      <c r="T55" s="33">
        <f t="shared" si="12"/>
        <v>0</v>
      </c>
      <c r="U55" s="40">
        <f t="shared" si="13"/>
        <v>0</v>
      </c>
    </row>
    <row r="56" spans="3:21" x14ac:dyDescent="0.3">
      <c r="C56" s="19" t="s">
        <v>28</v>
      </c>
      <c r="E56" s="14">
        <f>'Calculations Aged Care'!C52*0.277776</f>
        <v>0</v>
      </c>
      <c r="F56" s="14">
        <f>IF('Calculations Aged Care'!G48="Gas",'Calculations Aged Care'!G52*0.277776,'Calculations Aged Care'!G52)</f>
        <v>0</v>
      </c>
      <c r="G56" s="14"/>
      <c r="H56" s="14" t="str">
        <f>C56</f>
        <v>Cooktops</v>
      </c>
      <c r="I56" s="14"/>
      <c r="J56" s="14">
        <f>(E56*3.6*$J$3)/1000</f>
        <v>0</v>
      </c>
      <c r="K56" s="14">
        <f>IF('Calculations Aged Care'!G48="Gas",((F56*3.6*$J$3)/1000),((F56*$J$2)/1000))</f>
        <v>0</v>
      </c>
      <c r="L56" s="14"/>
      <c r="M56" s="14" t="str">
        <f>H56</f>
        <v>Cooktops</v>
      </c>
      <c r="N56" s="14"/>
      <c r="O56" s="14">
        <f>(E56*3.6*$J$3)/1000</f>
        <v>0</v>
      </c>
      <c r="P56" s="14">
        <f>IF('Calculations Aged Care'!G47="Gas",(K56),IF('Inputs Non-Residential'!D16="Whole Development",((F56*$J$4)/1000),((F56*$J$2)/1000)))</f>
        <v>0</v>
      </c>
      <c r="R56" t="str">
        <f>C56</f>
        <v>Cooktops</v>
      </c>
      <c r="T56" s="41">
        <f>E56*3.6*$Y$2</f>
        <v>0</v>
      </c>
      <c r="U56" s="42">
        <f>IF('Calculations Aged Care'!G48="Gas",'Totals Non-Residential'!F56*3.6*$Y$2,'Totals Non-Residential'!F56*$T$2)</f>
        <v>0</v>
      </c>
    </row>
    <row r="57" spans="3:21" ht="15" thickBot="1" x14ac:dyDescent="0.35">
      <c r="C57" s="34" t="s">
        <v>94</v>
      </c>
      <c r="D57" s="38"/>
      <c r="E57" s="35">
        <f>SUM(E50:E56)</f>
        <v>0</v>
      </c>
      <c r="F57" s="35">
        <f>SUM(F50:F56)</f>
        <v>0</v>
      </c>
      <c r="G57" s="35"/>
      <c r="H57" s="35" t="str">
        <f>C57</f>
        <v>Total</v>
      </c>
      <c r="I57" s="35"/>
      <c r="J57" s="35">
        <f>SUM(J50:J56)</f>
        <v>0</v>
      </c>
      <c r="K57" s="35">
        <f>SUM(K50:K56)</f>
        <v>0</v>
      </c>
      <c r="L57" s="35"/>
      <c r="M57" s="35" t="str">
        <f>H57</f>
        <v>Total</v>
      </c>
      <c r="N57" s="35"/>
      <c r="O57" s="35">
        <f>SUM(O50:O56)</f>
        <v>0</v>
      </c>
      <c r="P57" s="35">
        <f>SUM(P50:P56)</f>
        <v>0</v>
      </c>
      <c r="Q57" s="38"/>
      <c r="R57" s="38" t="str">
        <f>C57</f>
        <v>Total</v>
      </c>
      <c r="S57" s="38"/>
      <c r="T57" s="39">
        <f>E57*$T$2</f>
        <v>0</v>
      </c>
      <c r="U57" s="43">
        <f>F57*$T$2</f>
        <v>0</v>
      </c>
    </row>
    <row r="58" spans="3:21" ht="15" thickBot="1" x14ac:dyDescent="0.35">
      <c r="C58" s="1"/>
      <c r="D58" s="1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"/>
      <c r="R58" s="1"/>
      <c r="S58" s="1"/>
      <c r="T58" s="77"/>
      <c r="U58" s="77"/>
    </row>
    <row r="59" spans="3:21" ht="17.399999999999999" x14ac:dyDescent="0.35">
      <c r="C59" s="130" t="s">
        <v>234</v>
      </c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2"/>
    </row>
    <row r="60" spans="3:21" ht="28.8" x14ac:dyDescent="0.3">
      <c r="C60" s="32" t="s">
        <v>109</v>
      </c>
      <c r="D60" s="8"/>
      <c r="E60" s="72" t="s">
        <v>197</v>
      </c>
      <c r="F60" s="72">
        <f>'Inputs Non-Residential'!D5</f>
        <v>0</v>
      </c>
      <c r="G60" s="8"/>
      <c r="H60" s="8" t="s">
        <v>111</v>
      </c>
      <c r="I60" s="8"/>
      <c r="J60" s="8" t="s">
        <v>197</v>
      </c>
      <c r="K60" s="8">
        <f>'Inputs Non-Residential'!D5</f>
        <v>0</v>
      </c>
      <c r="M60" s="72" t="s">
        <v>192</v>
      </c>
      <c r="N60" s="72"/>
      <c r="O60" s="72" t="s">
        <v>197</v>
      </c>
      <c r="P60" s="72">
        <f>'Inputs Non-Residential'!D5</f>
        <v>0</v>
      </c>
      <c r="R60" s="8" t="s">
        <v>105</v>
      </c>
      <c r="S60" s="8"/>
      <c r="T60" s="72" t="s">
        <v>197</v>
      </c>
      <c r="U60" s="78">
        <f>'Inputs Non-Residential'!D5</f>
        <v>0</v>
      </c>
    </row>
    <row r="61" spans="3:21" x14ac:dyDescent="0.3">
      <c r="C61" s="19" t="s">
        <v>142</v>
      </c>
      <c r="E61" s="14">
        <f>'Calculations C&amp;S'!C4</f>
        <v>0</v>
      </c>
      <c r="F61" s="14">
        <f>'Calculations C&amp;S'!G4</f>
        <v>0</v>
      </c>
      <c r="G61" s="14"/>
      <c r="H61" t="s">
        <v>142</v>
      </c>
      <c r="J61" s="14">
        <f t="shared" ref="J61:K63" si="14">(E61*$J$2)/1000</f>
        <v>0</v>
      </c>
      <c r="K61" s="14">
        <f t="shared" si="14"/>
        <v>0</v>
      </c>
      <c r="L61" s="14"/>
      <c r="M61" t="s">
        <v>142</v>
      </c>
      <c r="O61" s="14">
        <f>(E61*$J$2)/1000</f>
        <v>0</v>
      </c>
      <c r="P61" s="14">
        <f>IF('Inputs Non-Residential'!$D$16="Whole Development",F61*$J$4/1000, IF('Inputs Non-Residential'!$D$16="Base Building",F61*$J$4/1000,F61*$J$2/1000))</f>
        <v>0</v>
      </c>
      <c r="R61" t="s">
        <v>142</v>
      </c>
      <c r="T61" s="41">
        <f t="shared" ref="T61:U63" si="15">E61*$T$2</f>
        <v>0</v>
      </c>
      <c r="U61" s="42">
        <f t="shared" si="15"/>
        <v>0</v>
      </c>
    </row>
    <row r="62" spans="3:21" x14ac:dyDescent="0.3">
      <c r="C62" s="19" t="s">
        <v>98</v>
      </c>
      <c r="E62" s="14">
        <f>'Calculations C&amp;S'!C10+'Calculations C&amp;S'!C16</f>
        <v>0</v>
      </c>
      <c r="F62" s="14">
        <f>'Calculations C&amp;S'!G10+'Calculations C&amp;S'!G16</f>
        <v>0</v>
      </c>
      <c r="G62" s="14"/>
      <c r="H62" t="s">
        <v>98</v>
      </c>
      <c r="J62" s="14">
        <f t="shared" si="14"/>
        <v>0</v>
      </c>
      <c r="K62" s="14">
        <f t="shared" si="14"/>
        <v>0</v>
      </c>
      <c r="L62" s="14"/>
      <c r="M62" t="s">
        <v>98</v>
      </c>
      <c r="O62" s="14">
        <f>(E62*$J$2)/1000</f>
        <v>0</v>
      </c>
      <c r="P62" s="14">
        <f>IF('Inputs Non-Residential'!$D$16="Whole Development",F62*$J$4/1000, IF('Inputs Non-Residential'!$D$16="Base Building",F62*$J$4/1000,F62*$J$2/1000))</f>
        <v>0</v>
      </c>
      <c r="R62" t="s">
        <v>98</v>
      </c>
      <c r="T62" s="41">
        <f t="shared" si="15"/>
        <v>0</v>
      </c>
      <c r="U62" s="42">
        <f t="shared" si="15"/>
        <v>0</v>
      </c>
    </row>
    <row r="63" spans="3:21" x14ac:dyDescent="0.3">
      <c r="C63" s="19" t="s">
        <v>236</v>
      </c>
      <c r="E63" s="14">
        <f>'Calculations C&amp;S'!C22</f>
        <v>0</v>
      </c>
      <c r="F63" s="14">
        <f>'Calculations C&amp;S'!G22</f>
        <v>0</v>
      </c>
      <c r="G63" s="14"/>
      <c r="H63" t="s">
        <v>236</v>
      </c>
      <c r="J63" s="14">
        <f t="shared" si="14"/>
        <v>0</v>
      </c>
      <c r="K63" s="14">
        <f t="shared" si="14"/>
        <v>0</v>
      </c>
      <c r="L63" s="14"/>
      <c r="M63" t="s">
        <v>236</v>
      </c>
      <c r="O63" s="14">
        <f>(E63*$J$2)/1000</f>
        <v>0</v>
      </c>
      <c r="P63" s="14">
        <f>IF('Inputs Non-Residential'!$D$16="Whole Development",F63*$J$4/1000, IF('Inputs Non-Residential'!$D$16="Base Building",F63*$J$4/1000,F63*$J$2/1000))</f>
        <v>0</v>
      </c>
      <c r="R63" t="s">
        <v>236</v>
      </c>
      <c r="T63" s="41">
        <f t="shared" si="15"/>
        <v>0</v>
      </c>
      <c r="U63" s="42">
        <f t="shared" si="15"/>
        <v>0</v>
      </c>
    </row>
    <row r="64" spans="3:21" ht="15" thickBot="1" x14ac:dyDescent="0.35">
      <c r="C64" s="34" t="s">
        <v>94</v>
      </c>
      <c r="D64" s="38"/>
      <c r="E64" s="35">
        <f>SUM(E61:E62)</f>
        <v>0</v>
      </c>
      <c r="F64" s="35">
        <f>SUM(F61:F62)</f>
        <v>0</v>
      </c>
      <c r="G64" s="35"/>
      <c r="H64" s="38" t="s">
        <v>94</v>
      </c>
      <c r="I64" s="38"/>
      <c r="J64" s="35">
        <f>SUM(J61:J62)</f>
        <v>0</v>
      </c>
      <c r="K64" s="35">
        <f>SUM(K61:K62)</f>
        <v>0</v>
      </c>
      <c r="L64" s="35"/>
      <c r="M64" s="38" t="s">
        <v>94</v>
      </c>
      <c r="N64" s="38"/>
      <c r="O64" s="35">
        <f>SUM(O61:O62)</f>
        <v>0</v>
      </c>
      <c r="P64" s="35">
        <f>SUM(P61:P62)</f>
        <v>0</v>
      </c>
      <c r="Q64" s="38"/>
      <c r="R64" s="38" t="s">
        <v>94</v>
      </c>
      <c r="S64" s="38"/>
      <c r="T64" s="39">
        <f>SUM(T61:T62)</f>
        <v>0</v>
      </c>
      <c r="U64" s="43">
        <f>SUM(U61:U62)</f>
        <v>0</v>
      </c>
    </row>
    <row r="65" spans="3:21" ht="15" thickBot="1" x14ac:dyDescent="0.35"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spans="3:21" ht="17.399999999999999" x14ac:dyDescent="0.35">
      <c r="C66" s="130" t="s">
        <v>100</v>
      </c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2"/>
    </row>
    <row r="67" spans="3:21" ht="15" thickBot="1" x14ac:dyDescent="0.35">
      <c r="C67" s="20" t="s">
        <v>110</v>
      </c>
      <c r="D67" s="37"/>
      <c r="E67" s="36">
        <v>0</v>
      </c>
      <c r="F67" s="36">
        <f>'Inputs Non-Residential'!D46*-1</f>
        <v>0</v>
      </c>
      <c r="G67" s="36"/>
      <c r="H67" s="36" t="s">
        <v>242</v>
      </c>
      <c r="I67" s="36"/>
      <c r="J67" s="36">
        <f>(E67*$J$2)/1000</f>
        <v>0</v>
      </c>
      <c r="K67" s="36">
        <f>(F67*$J$2)/1000</f>
        <v>0</v>
      </c>
      <c r="L67" s="36"/>
      <c r="M67" s="36" t="str">
        <f>H67</f>
        <v>Solar (eqtCO2)</v>
      </c>
      <c r="N67" s="36"/>
      <c r="O67" s="36">
        <f>(J67*$J$2)/1000</f>
        <v>0</v>
      </c>
      <c r="P67" s="36">
        <f>(F67*$J$2)/1000</f>
        <v>0</v>
      </c>
      <c r="Q67" s="37"/>
      <c r="R67" s="37" t="str">
        <f>C67</f>
        <v>Solar (kWh/yr)</v>
      </c>
      <c r="S67" s="37"/>
      <c r="T67" s="36">
        <f>E67*$T$2</f>
        <v>0</v>
      </c>
      <c r="U67" s="44">
        <f>F67*$T$2</f>
        <v>0</v>
      </c>
    </row>
    <row r="68" spans="3:21" ht="15" thickBot="1" x14ac:dyDescent="0.35"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</row>
    <row r="69" spans="3:21" ht="17.399999999999999" x14ac:dyDescent="0.35">
      <c r="C69" s="130" t="s">
        <v>108</v>
      </c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2"/>
    </row>
    <row r="70" spans="3:21" ht="28.8" x14ac:dyDescent="0.3">
      <c r="C70" s="32" t="s">
        <v>109</v>
      </c>
      <c r="D70" s="72"/>
      <c r="E70" s="72" t="s">
        <v>197</v>
      </c>
      <c r="F70" s="72">
        <f>'Inputs Non-Residential'!D5</f>
        <v>0</v>
      </c>
      <c r="G70" s="8"/>
      <c r="H70" s="8" t="s">
        <v>111</v>
      </c>
      <c r="I70" s="72"/>
      <c r="J70" s="72" t="s">
        <v>197</v>
      </c>
      <c r="K70" s="72">
        <f>'Inputs Non-Residential'!D5</f>
        <v>0</v>
      </c>
      <c r="M70" s="72" t="s">
        <v>192</v>
      </c>
      <c r="N70" s="72"/>
      <c r="O70" s="72" t="s">
        <v>197</v>
      </c>
      <c r="P70" s="72">
        <f>'Inputs Non-Residential'!D5</f>
        <v>0</v>
      </c>
      <c r="R70" s="8" t="s">
        <v>105</v>
      </c>
      <c r="S70" s="72"/>
      <c r="T70" s="72" t="s">
        <v>197</v>
      </c>
      <c r="U70" s="78">
        <f>'Inputs Non-Residential'!D5</f>
        <v>0</v>
      </c>
    </row>
    <row r="71" spans="3:21" x14ac:dyDescent="0.3">
      <c r="C71" s="19" t="s">
        <v>1</v>
      </c>
      <c r="D71" s="14"/>
      <c r="E71" s="14">
        <f>E15</f>
        <v>0</v>
      </c>
      <c r="F71" s="14">
        <f>F15</f>
        <v>0</v>
      </c>
      <c r="G71" s="14"/>
      <c r="H71" t="s">
        <v>1</v>
      </c>
      <c r="I71" s="14"/>
      <c r="J71" s="14">
        <f>J15</f>
        <v>0</v>
      </c>
      <c r="K71" s="14">
        <f>K15</f>
        <v>0</v>
      </c>
      <c r="L71" s="14"/>
      <c r="M71" t="s">
        <v>1</v>
      </c>
      <c r="N71" s="14"/>
      <c r="O71" s="14">
        <f>O15</f>
        <v>0</v>
      </c>
      <c r="P71" s="14">
        <f>P15</f>
        <v>0</v>
      </c>
      <c r="Q71" s="14"/>
      <c r="R71" t="s">
        <v>1</v>
      </c>
      <c r="S71" s="14"/>
      <c r="T71" s="104">
        <f>T15</f>
        <v>0</v>
      </c>
      <c r="U71" s="40">
        <f>U15</f>
        <v>0</v>
      </c>
    </row>
    <row r="72" spans="3:21" x14ac:dyDescent="0.3">
      <c r="C72" s="19" t="s">
        <v>2</v>
      </c>
      <c r="D72" s="14"/>
      <c r="E72" s="14">
        <f>E25</f>
        <v>0</v>
      </c>
      <c r="F72" s="14">
        <f>F25</f>
        <v>0</v>
      </c>
      <c r="G72" s="14"/>
      <c r="H72" t="s">
        <v>2</v>
      </c>
      <c r="I72" s="14"/>
      <c r="J72" s="14">
        <f>J25</f>
        <v>0</v>
      </c>
      <c r="K72" s="14">
        <f>K25</f>
        <v>0</v>
      </c>
      <c r="L72" s="14"/>
      <c r="M72" t="s">
        <v>2</v>
      </c>
      <c r="N72" s="14"/>
      <c r="O72" s="14">
        <f>O25</f>
        <v>0</v>
      </c>
      <c r="P72" s="14">
        <f>P25</f>
        <v>0</v>
      </c>
      <c r="Q72" s="14"/>
      <c r="R72" t="s">
        <v>2</v>
      </c>
      <c r="S72" s="14"/>
      <c r="T72" s="104">
        <f>T25</f>
        <v>0</v>
      </c>
      <c r="U72" s="40">
        <f>U25</f>
        <v>0</v>
      </c>
    </row>
    <row r="73" spans="3:21" x14ac:dyDescent="0.3">
      <c r="C73" s="19" t="s">
        <v>230</v>
      </c>
      <c r="D73" s="14"/>
      <c r="E73" s="14">
        <f>E36</f>
        <v>0</v>
      </c>
      <c r="F73" s="14">
        <f>F36</f>
        <v>0</v>
      </c>
      <c r="G73" s="14"/>
      <c r="H73" t="s">
        <v>230</v>
      </c>
      <c r="I73" s="14"/>
      <c r="J73" s="14">
        <f>J36</f>
        <v>0</v>
      </c>
      <c r="K73" s="14">
        <f>K36</f>
        <v>0</v>
      </c>
      <c r="L73" s="14"/>
      <c r="M73" t="s">
        <v>230</v>
      </c>
      <c r="N73" s="14"/>
      <c r="O73" s="14">
        <f>O36</f>
        <v>0</v>
      </c>
      <c r="P73" s="14">
        <f>P36</f>
        <v>0</v>
      </c>
      <c r="Q73" s="14"/>
      <c r="R73" t="s">
        <v>230</v>
      </c>
      <c r="S73" s="14"/>
      <c r="T73" s="104">
        <f>T36</f>
        <v>0</v>
      </c>
      <c r="U73" s="40">
        <f>U36</f>
        <v>0</v>
      </c>
    </row>
    <row r="74" spans="3:21" x14ac:dyDescent="0.3">
      <c r="C74" s="19" t="s">
        <v>208</v>
      </c>
      <c r="D74" s="14"/>
      <c r="E74" s="14">
        <f>E46</f>
        <v>0</v>
      </c>
      <c r="F74" s="14">
        <f>F46</f>
        <v>0</v>
      </c>
      <c r="G74" s="14"/>
      <c r="H74" t="s">
        <v>208</v>
      </c>
      <c r="I74" s="14"/>
      <c r="J74" s="14">
        <f>J46</f>
        <v>0</v>
      </c>
      <c r="K74" s="14">
        <f>K46</f>
        <v>0</v>
      </c>
      <c r="L74" s="14"/>
      <c r="M74" t="s">
        <v>208</v>
      </c>
      <c r="N74" s="14"/>
      <c r="O74" s="14">
        <f>O46</f>
        <v>0</v>
      </c>
      <c r="P74" s="14">
        <f>P46</f>
        <v>0</v>
      </c>
      <c r="Q74" s="14"/>
      <c r="R74" t="s">
        <v>208</v>
      </c>
      <c r="S74" s="14"/>
      <c r="T74" s="104">
        <f>T46</f>
        <v>0</v>
      </c>
      <c r="U74" s="40">
        <f>U46</f>
        <v>0</v>
      </c>
    </row>
    <row r="75" spans="3:21" x14ac:dyDescent="0.3">
      <c r="C75" s="19" t="s">
        <v>207</v>
      </c>
      <c r="D75" s="14"/>
      <c r="E75" s="14">
        <f>E57</f>
        <v>0</v>
      </c>
      <c r="F75" s="14">
        <f>F57</f>
        <v>0</v>
      </c>
      <c r="G75" s="14"/>
      <c r="H75" t="s">
        <v>207</v>
      </c>
      <c r="I75" s="14"/>
      <c r="J75" s="14">
        <f>J57</f>
        <v>0</v>
      </c>
      <c r="K75" s="14">
        <f>K57</f>
        <v>0</v>
      </c>
      <c r="L75" s="14"/>
      <c r="M75" t="s">
        <v>207</v>
      </c>
      <c r="N75" s="14"/>
      <c r="O75" s="14">
        <f>O57</f>
        <v>0</v>
      </c>
      <c r="P75" s="14">
        <f>P57</f>
        <v>0</v>
      </c>
      <c r="Q75" s="14"/>
      <c r="R75" t="s">
        <v>207</v>
      </c>
      <c r="S75" s="14"/>
      <c r="T75" s="104">
        <f>T57</f>
        <v>0</v>
      </c>
      <c r="U75" s="40">
        <f>U57</f>
        <v>0</v>
      </c>
    </row>
    <row r="76" spans="3:21" x14ac:dyDescent="0.3">
      <c r="C76" s="19" t="s">
        <v>234</v>
      </c>
      <c r="D76" s="14"/>
      <c r="E76" s="14">
        <f>E64</f>
        <v>0</v>
      </c>
      <c r="F76" s="14">
        <f>F64</f>
        <v>0</v>
      </c>
      <c r="G76" s="14"/>
      <c r="H76" t="s">
        <v>234</v>
      </c>
      <c r="I76" s="14"/>
      <c r="J76" s="14">
        <f>J64</f>
        <v>0</v>
      </c>
      <c r="K76" s="14">
        <f>K64</f>
        <v>0</v>
      </c>
      <c r="L76" s="14"/>
      <c r="M76" t="s">
        <v>234</v>
      </c>
      <c r="N76" s="14"/>
      <c r="O76" s="14">
        <f>O64</f>
        <v>0</v>
      </c>
      <c r="P76" s="14">
        <f>P64</f>
        <v>0</v>
      </c>
      <c r="Q76" s="14"/>
      <c r="R76" t="s">
        <v>234</v>
      </c>
      <c r="S76" s="14"/>
      <c r="T76" s="104">
        <f>T64</f>
        <v>0</v>
      </c>
      <c r="U76" s="40">
        <f>U64</f>
        <v>0</v>
      </c>
    </row>
    <row r="77" spans="3:21" x14ac:dyDescent="0.3">
      <c r="C77" s="19" t="s">
        <v>100</v>
      </c>
      <c r="D77" s="14"/>
      <c r="E77" s="14">
        <f>E67</f>
        <v>0</v>
      </c>
      <c r="F77" s="14">
        <f>F67</f>
        <v>0</v>
      </c>
      <c r="G77" s="14"/>
      <c r="H77" t="s">
        <v>100</v>
      </c>
      <c r="I77" s="14"/>
      <c r="J77" s="14">
        <f>J67</f>
        <v>0</v>
      </c>
      <c r="K77" s="14">
        <f>K67</f>
        <v>0</v>
      </c>
      <c r="L77" s="14"/>
      <c r="M77" t="s">
        <v>100</v>
      </c>
      <c r="N77" s="14"/>
      <c r="O77" s="14">
        <f>O67</f>
        <v>0</v>
      </c>
      <c r="P77" s="14">
        <f>P67</f>
        <v>0</v>
      </c>
      <c r="Q77" s="14"/>
      <c r="R77" t="s">
        <v>100</v>
      </c>
      <c r="S77" s="14"/>
      <c r="T77" s="104">
        <f>T67</f>
        <v>0</v>
      </c>
      <c r="U77" s="40">
        <f>U67</f>
        <v>0</v>
      </c>
    </row>
    <row r="78" spans="3:21" x14ac:dyDescent="0.3">
      <c r="C78" s="66" t="s">
        <v>94</v>
      </c>
      <c r="D78" s="17"/>
      <c r="E78" s="17">
        <f>SUM(E71:E77)</f>
        <v>0</v>
      </c>
      <c r="F78" s="17">
        <f>SUM(F71:F77)</f>
        <v>0</v>
      </c>
      <c r="G78" s="17"/>
      <c r="H78" s="17" t="str">
        <f t="shared" ref="H78" si="16">C78</f>
        <v>Total</v>
      </c>
      <c r="I78" s="17"/>
      <c r="J78" s="17">
        <f>SUM(J71:J77)</f>
        <v>0</v>
      </c>
      <c r="K78" s="17">
        <f>SUM(K71:K77)</f>
        <v>0</v>
      </c>
      <c r="L78" s="17">
        <f>K78-J78</f>
        <v>0</v>
      </c>
      <c r="M78" s="17" t="str">
        <f>H78</f>
        <v>Total</v>
      </c>
      <c r="N78" s="17"/>
      <c r="O78" s="17">
        <f>SUM(O71:O77)</f>
        <v>0</v>
      </c>
      <c r="P78" s="17">
        <f>SUM(P71:P77)</f>
        <v>0</v>
      </c>
      <c r="Q78" s="17"/>
      <c r="R78" s="1" t="s">
        <v>94</v>
      </c>
      <c r="S78" s="17"/>
      <c r="T78" s="110">
        <f>SUM(T71:T77)</f>
        <v>0</v>
      </c>
      <c r="U78" s="111">
        <f>SUM(U71:U77)</f>
        <v>0</v>
      </c>
    </row>
    <row r="79" spans="3:21" ht="15" thickBot="1" x14ac:dyDescent="0.35">
      <c r="C79" s="34"/>
      <c r="D79" s="65"/>
      <c r="E79" s="65"/>
      <c r="F79" s="65"/>
      <c r="G79" s="35"/>
      <c r="H79" s="35" t="s">
        <v>202</v>
      </c>
      <c r="I79" s="65"/>
      <c r="J79" s="65"/>
      <c r="K79" s="65" t="e">
        <f>1-(K78/J78)</f>
        <v>#DIV/0!</v>
      </c>
      <c r="L79" s="35"/>
      <c r="M79" s="35"/>
      <c r="N79" s="65"/>
      <c r="O79" s="65"/>
      <c r="P79" s="65"/>
      <c r="Q79" s="35"/>
      <c r="R79" s="35" t="s">
        <v>201</v>
      </c>
      <c r="S79" s="79"/>
      <c r="T79" s="115">
        <f>T78-U78</f>
        <v>0</v>
      </c>
      <c r="U79" s="43"/>
    </row>
    <row r="80" spans="3:21" x14ac:dyDescent="0.3">
      <c r="C80" s="1"/>
      <c r="D80" s="1"/>
      <c r="E80" s="17"/>
      <c r="F80" s="17"/>
      <c r="G80" s="17"/>
      <c r="H80" s="17"/>
      <c r="I80" s="17"/>
      <c r="J80" s="17"/>
      <c r="K80" s="17"/>
      <c r="M80" s="17"/>
      <c r="N80" s="17"/>
      <c r="O80" s="17"/>
      <c r="P80" s="17"/>
      <c r="Q80" s="17"/>
      <c r="R80" s="1"/>
      <c r="S80" s="1"/>
      <c r="T80" s="17"/>
      <c r="U80" s="17"/>
    </row>
    <row r="81" spans="3:21" ht="15" thickBot="1" x14ac:dyDescent="0.35"/>
    <row r="82" spans="3:21" ht="17.399999999999999" x14ac:dyDescent="0.35">
      <c r="C82" s="130" t="s">
        <v>186</v>
      </c>
      <c r="D82" s="131"/>
      <c r="E82" s="131"/>
      <c r="F82" s="131"/>
      <c r="G82" s="131"/>
      <c r="H82" s="131"/>
      <c r="I82" s="131"/>
      <c r="J82" s="131"/>
      <c r="K82" s="132"/>
      <c r="L82" s="92"/>
      <c r="M82" s="92"/>
      <c r="N82" s="92"/>
      <c r="O82" s="92"/>
      <c r="P82" s="92"/>
    </row>
    <row r="83" spans="3:21" x14ac:dyDescent="0.3">
      <c r="C83" s="19" t="s">
        <v>181</v>
      </c>
      <c r="E83">
        <f>'Inputs Non-Residential'!D62</f>
        <v>0</v>
      </c>
      <c r="F83" t="s">
        <v>183</v>
      </c>
      <c r="H83" t="s">
        <v>197</v>
      </c>
      <c r="J83">
        <f>E83</f>
        <v>0</v>
      </c>
      <c r="K83" s="46" t="s">
        <v>183</v>
      </c>
    </row>
    <row r="84" spans="3:21" ht="28.8" x14ac:dyDescent="0.3">
      <c r="C84" s="63" t="s">
        <v>185</v>
      </c>
      <c r="D84" s="67"/>
      <c r="E84">
        <f>'Inputs Non-Residential'!D63</f>
        <v>0</v>
      </c>
      <c r="F84" t="s">
        <v>183</v>
      </c>
      <c r="G84" s="68" t="e">
        <f>1-(E84/E83)</f>
        <v>#DIV/0!</v>
      </c>
      <c r="H84" t="s">
        <v>188</v>
      </c>
      <c r="J84">
        <f>E84-E83</f>
        <v>0</v>
      </c>
      <c r="K84" s="46" t="s">
        <v>183</v>
      </c>
    </row>
    <row r="85" spans="3:21" ht="29.4" thickBot="1" x14ac:dyDescent="0.35">
      <c r="C85" s="64" t="s">
        <v>182</v>
      </c>
      <c r="D85" s="73"/>
      <c r="E85" s="37">
        <f>'Inputs Non-Residential'!D64</f>
        <v>0</v>
      </c>
      <c r="F85" s="37" t="s">
        <v>183</v>
      </c>
      <c r="G85" s="69" t="e">
        <f>(1-(E85/E83))</f>
        <v>#DIV/0!</v>
      </c>
      <c r="H85" s="37" t="s">
        <v>187</v>
      </c>
      <c r="I85" s="37"/>
      <c r="J85" s="37">
        <f>E85-E84</f>
        <v>0</v>
      </c>
      <c r="K85" s="62" t="s">
        <v>183</v>
      </c>
      <c r="O85" s="14"/>
    </row>
    <row r="86" spans="3:21" x14ac:dyDescent="0.3">
      <c r="C86" s="67"/>
      <c r="D86" s="67"/>
      <c r="G86" t="s">
        <v>195</v>
      </c>
    </row>
    <row r="87" spans="3:21" ht="15" thickBot="1" x14ac:dyDescent="0.35"/>
    <row r="88" spans="3:21" ht="17.399999999999999" x14ac:dyDescent="0.35">
      <c r="C88" s="130" t="s">
        <v>240</v>
      </c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2"/>
    </row>
    <row r="89" spans="3:21" ht="28.8" x14ac:dyDescent="0.3">
      <c r="C89" s="32" t="s">
        <v>109</v>
      </c>
      <c r="D89" s="72"/>
      <c r="E89" s="72" t="s">
        <v>197</v>
      </c>
      <c r="F89" s="72">
        <f>'Inputs Non-Residential'!D5</f>
        <v>0</v>
      </c>
      <c r="G89" s="8"/>
      <c r="H89" s="8" t="s">
        <v>111</v>
      </c>
      <c r="I89" s="72"/>
      <c r="J89" s="72" t="s">
        <v>197</v>
      </c>
      <c r="K89" s="72">
        <f>'Inputs Non-Residential'!D5</f>
        <v>0</v>
      </c>
      <c r="M89" s="72" t="s">
        <v>192</v>
      </c>
      <c r="N89" s="72"/>
      <c r="O89" s="72" t="s">
        <v>197</v>
      </c>
      <c r="P89" s="72">
        <f>'Inputs Non-Residential'!D5</f>
        <v>0</v>
      </c>
      <c r="R89" s="8" t="s">
        <v>105</v>
      </c>
      <c r="S89" s="72"/>
      <c r="T89" s="72" t="s">
        <v>197</v>
      </c>
      <c r="U89" s="78">
        <f>'Inputs Non-Residential'!D5</f>
        <v>0</v>
      </c>
    </row>
    <row r="90" spans="3:21" ht="28.8" x14ac:dyDescent="0.3">
      <c r="C90" s="63" t="s">
        <v>238</v>
      </c>
      <c r="D90" s="14"/>
      <c r="E90" s="14">
        <f t="shared" ref="E90:F95" si="17">E9+E19+E29+E40+E50</f>
        <v>0</v>
      </c>
      <c r="F90" s="14">
        <f t="shared" si="17"/>
        <v>0</v>
      </c>
      <c r="G90" s="14"/>
      <c r="H90" t="str">
        <f>C90</f>
        <v>Heating &amp; Cooling
(Elec)</v>
      </c>
      <c r="I90" s="14"/>
      <c r="J90" s="14">
        <f t="shared" ref="J90:K95" si="18">J9+J19+J29+J40+J50</f>
        <v>0</v>
      </c>
      <c r="K90" s="14">
        <f t="shared" si="18"/>
        <v>0</v>
      </c>
      <c r="L90" s="14"/>
      <c r="M90" t="str">
        <f>C90</f>
        <v>Heating &amp; Cooling
(Elec)</v>
      </c>
      <c r="N90" s="14"/>
      <c r="O90" s="14">
        <f t="shared" ref="O90:P95" si="19">O9+O19+O29+O40+O50</f>
        <v>0</v>
      </c>
      <c r="P90" s="14">
        <f t="shared" si="19"/>
        <v>0</v>
      </c>
      <c r="Q90" s="14"/>
      <c r="R90" t="str">
        <f>C90</f>
        <v>Heating &amp; Cooling
(Elec)</v>
      </c>
      <c r="S90" s="14"/>
      <c r="T90" s="33">
        <f t="shared" ref="T90:U95" si="20">T9+T19+T29+T40+T50</f>
        <v>0</v>
      </c>
      <c r="U90" s="40">
        <f t="shared" si="20"/>
        <v>0</v>
      </c>
    </row>
    <row r="91" spans="3:21" ht="28.8" x14ac:dyDescent="0.3">
      <c r="C91" s="63" t="s">
        <v>237</v>
      </c>
      <c r="D91" s="14"/>
      <c r="E91" s="14">
        <f t="shared" si="17"/>
        <v>0</v>
      </c>
      <c r="F91" s="14">
        <f t="shared" si="17"/>
        <v>0</v>
      </c>
      <c r="G91" s="14"/>
      <c r="H91" t="str">
        <f t="shared" ref="H91:H97" si="21">C91</f>
        <v>Heating &amp; Cooling 
(Gas)</v>
      </c>
      <c r="I91" s="14"/>
      <c r="J91" s="14">
        <f t="shared" si="18"/>
        <v>0</v>
      </c>
      <c r="K91" s="14">
        <f t="shared" si="18"/>
        <v>0</v>
      </c>
      <c r="L91" s="14"/>
      <c r="M91" t="str">
        <f t="shared" ref="M91:M97" si="22">C91</f>
        <v>Heating &amp; Cooling 
(Gas)</v>
      </c>
      <c r="N91" s="14"/>
      <c r="O91" s="14">
        <f t="shared" si="19"/>
        <v>0</v>
      </c>
      <c r="P91" s="14">
        <f t="shared" si="19"/>
        <v>0</v>
      </c>
      <c r="Q91" s="14"/>
      <c r="R91" t="str">
        <f t="shared" ref="R91:R97" si="23">C91</f>
        <v>Heating &amp; Cooling 
(Gas)</v>
      </c>
      <c r="S91" s="14"/>
      <c r="T91" s="33">
        <f t="shared" si="20"/>
        <v>0</v>
      </c>
      <c r="U91" s="40">
        <f t="shared" si="20"/>
        <v>0</v>
      </c>
    </row>
    <row r="92" spans="3:21" x14ac:dyDescent="0.3">
      <c r="C92" s="19" t="s">
        <v>145</v>
      </c>
      <c r="D92" s="14"/>
      <c r="E92" s="14">
        <f t="shared" si="17"/>
        <v>0</v>
      </c>
      <c r="F92" s="14">
        <f t="shared" si="17"/>
        <v>0</v>
      </c>
      <c r="G92" s="14"/>
      <c r="H92" t="str">
        <f t="shared" si="21"/>
        <v>Fans</v>
      </c>
      <c r="I92" s="14"/>
      <c r="J92" s="14">
        <f t="shared" si="18"/>
        <v>0</v>
      </c>
      <c r="K92" s="14">
        <f t="shared" si="18"/>
        <v>0</v>
      </c>
      <c r="L92" s="14"/>
      <c r="M92" t="str">
        <f t="shared" si="22"/>
        <v>Fans</v>
      </c>
      <c r="N92" s="14"/>
      <c r="O92" s="14">
        <f t="shared" si="19"/>
        <v>0</v>
      </c>
      <c r="P92" s="14">
        <f t="shared" si="19"/>
        <v>0</v>
      </c>
      <c r="Q92" s="14"/>
      <c r="R92" t="str">
        <f t="shared" si="23"/>
        <v>Fans</v>
      </c>
      <c r="S92" s="14"/>
      <c r="T92" s="33">
        <f t="shared" si="20"/>
        <v>0</v>
      </c>
      <c r="U92" s="40">
        <f t="shared" si="20"/>
        <v>0</v>
      </c>
    </row>
    <row r="93" spans="3:21" x14ac:dyDescent="0.3">
      <c r="C93" s="19" t="s">
        <v>98</v>
      </c>
      <c r="D93" s="14"/>
      <c r="E93" s="14">
        <f t="shared" si="17"/>
        <v>0</v>
      </c>
      <c r="F93" s="14">
        <f t="shared" si="17"/>
        <v>0</v>
      </c>
      <c r="G93" s="14"/>
      <c r="H93" t="str">
        <f t="shared" si="21"/>
        <v>Lighting</v>
      </c>
      <c r="I93" s="14"/>
      <c r="J93" s="14">
        <f t="shared" si="18"/>
        <v>0</v>
      </c>
      <c r="K93" s="14">
        <f t="shared" si="18"/>
        <v>0</v>
      </c>
      <c r="L93" s="14"/>
      <c r="M93" t="str">
        <f t="shared" si="22"/>
        <v>Lighting</v>
      </c>
      <c r="N93" s="14"/>
      <c r="O93" s="14">
        <f t="shared" si="19"/>
        <v>0</v>
      </c>
      <c r="P93" s="14">
        <f t="shared" si="19"/>
        <v>0</v>
      </c>
      <c r="Q93" s="14"/>
      <c r="R93" t="str">
        <f t="shared" si="23"/>
        <v>Lighting</v>
      </c>
      <c r="S93" s="14"/>
      <c r="T93" s="33">
        <f t="shared" si="20"/>
        <v>0</v>
      </c>
      <c r="U93" s="40">
        <f t="shared" si="20"/>
        <v>0</v>
      </c>
    </row>
    <row r="94" spans="3:21" x14ac:dyDescent="0.3">
      <c r="C94" s="19" t="s">
        <v>99</v>
      </c>
      <c r="D94" s="14"/>
      <c r="E94" s="14">
        <f t="shared" si="17"/>
        <v>0</v>
      </c>
      <c r="F94" s="14">
        <f t="shared" si="17"/>
        <v>0</v>
      </c>
      <c r="G94" s="14"/>
      <c r="H94" t="str">
        <f t="shared" si="21"/>
        <v>Hot Water</v>
      </c>
      <c r="I94" s="14"/>
      <c r="J94" s="14">
        <f t="shared" si="18"/>
        <v>0</v>
      </c>
      <c r="K94" s="14">
        <f t="shared" si="18"/>
        <v>0</v>
      </c>
      <c r="L94" s="14"/>
      <c r="M94" t="str">
        <f t="shared" si="22"/>
        <v>Hot Water</v>
      </c>
      <c r="N94" s="14"/>
      <c r="O94" s="14">
        <f t="shared" si="19"/>
        <v>0</v>
      </c>
      <c r="P94" s="14">
        <f t="shared" si="19"/>
        <v>0</v>
      </c>
      <c r="Q94" s="14"/>
      <c r="R94" t="str">
        <f t="shared" si="23"/>
        <v>Hot Water</v>
      </c>
      <c r="S94" s="14"/>
      <c r="T94" s="33">
        <f t="shared" si="20"/>
        <v>0</v>
      </c>
      <c r="U94" s="40">
        <f t="shared" si="20"/>
        <v>0</v>
      </c>
    </row>
    <row r="95" spans="3:21" x14ac:dyDescent="0.3">
      <c r="C95" s="19" t="s">
        <v>28</v>
      </c>
      <c r="D95" s="14"/>
      <c r="E95" s="14">
        <f t="shared" si="17"/>
        <v>0</v>
      </c>
      <c r="F95" s="14">
        <f t="shared" si="17"/>
        <v>0</v>
      </c>
      <c r="G95" s="14"/>
      <c r="H95" t="str">
        <f t="shared" si="21"/>
        <v>Cooktops</v>
      </c>
      <c r="I95" s="14"/>
      <c r="J95" s="14">
        <f t="shared" si="18"/>
        <v>0</v>
      </c>
      <c r="K95" s="14">
        <f t="shared" si="18"/>
        <v>0</v>
      </c>
      <c r="L95" s="14"/>
      <c r="M95" t="str">
        <f t="shared" si="22"/>
        <v>Cooktops</v>
      </c>
      <c r="N95" s="14"/>
      <c r="O95" s="14">
        <f t="shared" si="19"/>
        <v>0</v>
      </c>
      <c r="P95" s="14">
        <f t="shared" si="19"/>
        <v>0</v>
      </c>
      <c r="Q95" s="14"/>
      <c r="R95" t="str">
        <f t="shared" si="23"/>
        <v>Cooktops</v>
      </c>
      <c r="S95" s="14"/>
      <c r="T95" s="33">
        <f t="shared" si="20"/>
        <v>0</v>
      </c>
      <c r="U95" s="40">
        <f t="shared" si="20"/>
        <v>0</v>
      </c>
    </row>
    <row r="96" spans="3:21" x14ac:dyDescent="0.3">
      <c r="C96" s="19" t="s">
        <v>234</v>
      </c>
      <c r="D96" s="14"/>
      <c r="E96" s="14">
        <f>E76</f>
        <v>0</v>
      </c>
      <c r="F96" s="14">
        <f>F76</f>
        <v>0</v>
      </c>
      <c r="G96" s="14"/>
      <c r="H96" t="str">
        <f t="shared" si="21"/>
        <v>Carpark, Services &amp; Lift</v>
      </c>
      <c r="I96" s="14"/>
      <c r="J96" s="14">
        <f>J76</f>
        <v>0</v>
      </c>
      <c r="K96" s="14">
        <f>K76</f>
        <v>0</v>
      </c>
      <c r="L96" s="14"/>
      <c r="M96" t="str">
        <f t="shared" si="22"/>
        <v>Carpark, Services &amp; Lift</v>
      </c>
      <c r="N96" s="14"/>
      <c r="O96" s="14">
        <f>O76</f>
        <v>0</v>
      </c>
      <c r="P96" s="14">
        <f>P76</f>
        <v>0</v>
      </c>
      <c r="Q96" s="14"/>
      <c r="R96" t="str">
        <f t="shared" si="23"/>
        <v>Carpark, Services &amp; Lift</v>
      </c>
      <c r="S96" s="14"/>
      <c r="T96" s="33">
        <f>T76</f>
        <v>0</v>
      </c>
      <c r="U96" s="40">
        <f>U76</f>
        <v>0</v>
      </c>
    </row>
    <row r="97" spans="3:21" ht="15" thickBot="1" x14ac:dyDescent="0.35">
      <c r="C97" s="34" t="s">
        <v>94</v>
      </c>
      <c r="D97" s="36"/>
      <c r="E97" s="36">
        <f>SUM(E90:E96)</f>
        <v>0</v>
      </c>
      <c r="F97" s="36">
        <f>SUM(F90:F95)</f>
        <v>0</v>
      </c>
      <c r="G97" s="36"/>
      <c r="H97" s="38" t="str">
        <f t="shared" si="21"/>
        <v>Total</v>
      </c>
      <c r="I97" s="36"/>
      <c r="J97" s="35">
        <f>SUM(J90:J96)</f>
        <v>0</v>
      </c>
      <c r="K97" s="35">
        <f>SUM(K90:K95)</f>
        <v>0</v>
      </c>
      <c r="L97" s="36"/>
      <c r="M97" s="38" t="str">
        <f t="shared" si="22"/>
        <v>Total</v>
      </c>
      <c r="N97" s="35"/>
      <c r="O97" s="35">
        <f>O15+O25+O35+O46+O56</f>
        <v>0</v>
      </c>
      <c r="P97" s="35">
        <f>P15+P25+P35+P46+P56</f>
        <v>0</v>
      </c>
      <c r="Q97" s="36"/>
      <c r="R97" s="38" t="str">
        <f t="shared" si="23"/>
        <v>Total</v>
      </c>
      <c r="S97" s="36"/>
      <c r="T97" s="112">
        <f>T15+T25+T35+T46+T56</f>
        <v>0</v>
      </c>
      <c r="U97" s="44">
        <f>U15+U25+U35+U46+U56</f>
        <v>0</v>
      </c>
    </row>
    <row r="98" spans="3:21" ht="15" thickBot="1" x14ac:dyDescent="0.35">
      <c r="C98" s="106" t="s">
        <v>241</v>
      </c>
      <c r="D98" s="107"/>
      <c r="E98" s="107"/>
      <c r="F98" s="109">
        <f>E97-F97</f>
        <v>0</v>
      </c>
      <c r="G98" s="108"/>
      <c r="H98" s="108" t="s">
        <v>202</v>
      </c>
      <c r="I98" s="107"/>
      <c r="J98" s="107"/>
      <c r="K98" s="107" t="e">
        <f>1-(K97/J97)</f>
        <v>#DIV/0!</v>
      </c>
      <c r="L98" s="108"/>
      <c r="M98" s="108"/>
      <c r="N98" s="107"/>
      <c r="O98" s="107"/>
      <c r="P98" s="107"/>
      <c r="Q98" s="108"/>
      <c r="R98" s="108" t="s">
        <v>201</v>
      </c>
      <c r="S98" s="109"/>
      <c r="T98" s="113"/>
      <c r="U98" s="114">
        <f>T97-U97</f>
        <v>0</v>
      </c>
    </row>
  </sheetData>
  <mergeCells count="15">
    <mergeCell ref="H2:I2"/>
    <mergeCell ref="H3:I3"/>
    <mergeCell ref="H4:I4"/>
    <mergeCell ref="R2:S2"/>
    <mergeCell ref="R3:S3"/>
    <mergeCell ref="C88:U88"/>
    <mergeCell ref="C7:U7"/>
    <mergeCell ref="C17:U17"/>
    <mergeCell ref="C82:K82"/>
    <mergeCell ref="C66:U66"/>
    <mergeCell ref="C69:U69"/>
    <mergeCell ref="C59:U59"/>
    <mergeCell ref="C27:U27"/>
    <mergeCell ref="C38:U38"/>
    <mergeCell ref="C48:U4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7E4BE-C962-4C7E-AA01-A850DDE55B29}">
  <dimension ref="B2:O24"/>
  <sheetViews>
    <sheetView workbookViewId="0"/>
  </sheetViews>
  <sheetFormatPr defaultRowHeight="14.4" x14ac:dyDescent="0.3"/>
  <cols>
    <col min="2" max="2" width="27.44140625" bestFit="1" customWidth="1"/>
    <col min="3" max="4" width="19.6640625" customWidth="1"/>
    <col min="9" max="9" width="17.6640625" bestFit="1" customWidth="1"/>
    <col min="10" max="10" width="17.6640625" customWidth="1"/>
    <col min="11" max="12" width="22.33203125" bestFit="1" customWidth="1"/>
    <col min="13" max="13" width="12.33203125" customWidth="1"/>
    <col min="14" max="14" width="13.44140625" bestFit="1" customWidth="1"/>
    <col min="15" max="15" width="16.5546875" bestFit="1" customWidth="1"/>
  </cols>
  <sheetData>
    <row r="2" spans="2:15" x14ac:dyDescent="0.3">
      <c r="J2" s="134" t="s">
        <v>46</v>
      </c>
      <c r="K2" s="134"/>
      <c r="L2" s="134"/>
    </row>
    <row r="3" spans="2:15" x14ac:dyDescent="0.3">
      <c r="J3">
        <v>3</v>
      </c>
      <c r="K3" s="4">
        <v>7</v>
      </c>
      <c r="L3" s="4">
        <v>7.5</v>
      </c>
      <c r="M3" s="4">
        <v>8</v>
      </c>
    </row>
    <row r="4" spans="2:15" x14ac:dyDescent="0.3">
      <c r="B4" t="s">
        <v>17</v>
      </c>
      <c r="C4" t="s">
        <v>21</v>
      </c>
      <c r="I4" t="s">
        <v>36</v>
      </c>
      <c r="J4" t="s">
        <v>196</v>
      </c>
      <c r="K4" t="s">
        <v>43</v>
      </c>
      <c r="L4" t="s">
        <v>44</v>
      </c>
      <c r="M4" t="s">
        <v>45</v>
      </c>
    </row>
    <row r="5" spans="2:15" x14ac:dyDescent="0.3">
      <c r="B5" t="s">
        <v>18</v>
      </c>
      <c r="C5">
        <v>3.1</v>
      </c>
      <c r="I5" t="s">
        <v>39</v>
      </c>
      <c r="J5">
        <v>199</v>
      </c>
      <c r="K5">
        <v>62</v>
      </c>
      <c r="L5">
        <v>52</v>
      </c>
      <c r="M5">
        <v>44</v>
      </c>
    </row>
    <row r="6" spans="2:15" x14ac:dyDescent="0.3">
      <c r="B6" t="s">
        <v>19</v>
      </c>
      <c r="C6">
        <v>3.3</v>
      </c>
      <c r="I6" t="s">
        <v>40</v>
      </c>
      <c r="J6">
        <v>279</v>
      </c>
      <c r="K6">
        <v>55</v>
      </c>
      <c r="L6">
        <v>47</v>
      </c>
      <c r="M6">
        <v>37</v>
      </c>
    </row>
    <row r="7" spans="2:15" x14ac:dyDescent="0.3">
      <c r="B7" t="s">
        <v>22</v>
      </c>
      <c r="C7">
        <v>2.5</v>
      </c>
      <c r="I7" t="s">
        <v>41</v>
      </c>
      <c r="J7">
        <v>262</v>
      </c>
      <c r="K7">
        <v>99</v>
      </c>
      <c r="L7">
        <v>84</v>
      </c>
      <c r="M7">
        <v>69</v>
      </c>
    </row>
    <row r="8" spans="2:15" x14ac:dyDescent="0.3">
      <c r="B8" t="s">
        <v>23</v>
      </c>
      <c r="C8">
        <v>0.8</v>
      </c>
    </row>
    <row r="9" spans="2:15" x14ac:dyDescent="0.3">
      <c r="I9" t="s">
        <v>42</v>
      </c>
      <c r="J9" t="s">
        <v>1</v>
      </c>
      <c r="K9" t="s">
        <v>2</v>
      </c>
      <c r="L9" t="s">
        <v>101</v>
      </c>
      <c r="M9" t="s">
        <v>207</v>
      </c>
      <c r="N9" t="s">
        <v>208</v>
      </c>
      <c r="O9" t="s">
        <v>232</v>
      </c>
    </row>
    <row r="10" spans="2:15" x14ac:dyDescent="0.3">
      <c r="I10">
        <v>6</v>
      </c>
      <c r="J10" s="15">
        <f>Averages!H12</f>
        <v>28.22345208242939</v>
      </c>
      <c r="K10">
        <v>16.7</v>
      </c>
      <c r="L10">
        <v>20</v>
      </c>
      <c r="M10" s="15">
        <f>Averages!H40</f>
        <v>28.316456288993116</v>
      </c>
      <c r="N10" s="15">
        <f>Averages!Q15</f>
        <v>11.504648556768091</v>
      </c>
      <c r="O10" s="15">
        <f>Averages!Q23</f>
        <v>33.538978056701609</v>
      </c>
    </row>
    <row r="11" spans="2:15" x14ac:dyDescent="0.3">
      <c r="B11" t="s">
        <v>24</v>
      </c>
      <c r="C11" t="s">
        <v>21</v>
      </c>
      <c r="I11">
        <v>7</v>
      </c>
      <c r="J11" s="15">
        <f>Averages!H13</f>
        <v>0</v>
      </c>
      <c r="M11" s="15"/>
      <c r="N11" s="15"/>
      <c r="O11" s="15"/>
    </row>
    <row r="12" spans="2:15" x14ac:dyDescent="0.3">
      <c r="B12" t="s">
        <v>25</v>
      </c>
      <c r="C12">
        <v>2.5</v>
      </c>
    </row>
    <row r="13" spans="2:15" x14ac:dyDescent="0.3">
      <c r="B13" t="s">
        <v>26</v>
      </c>
      <c r="C13">
        <v>1</v>
      </c>
    </row>
    <row r="14" spans="2:15" x14ac:dyDescent="0.3">
      <c r="B14" t="s">
        <v>27</v>
      </c>
      <c r="C14">
        <v>0.8</v>
      </c>
      <c r="I14" t="s">
        <v>177</v>
      </c>
    </row>
    <row r="15" spans="2:15" x14ac:dyDescent="0.3">
      <c r="I15" t="s">
        <v>178</v>
      </c>
    </row>
    <row r="16" spans="2:15" x14ac:dyDescent="0.3">
      <c r="B16" t="s">
        <v>28</v>
      </c>
      <c r="C16" t="s">
        <v>32</v>
      </c>
      <c r="D16" t="s">
        <v>190</v>
      </c>
      <c r="E16" t="s">
        <v>20</v>
      </c>
      <c r="I16" t="s">
        <v>179</v>
      </c>
    </row>
    <row r="17" spans="2:5" x14ac:dyDescent="0.3">
      <c r="B17" t="s">
        <v>29</v>
      </c>
      <c r="C17">
        <v>0.35</v>
      </c>
      <c r="D17">
        <v>3.5</v>
      </c>
      <c r="E17" t="s">
        <v>33</v>
      </c>
    </row>
    <row r="18" spans="2:5" x14ac:dyDescent="0.3">
      <c r="B18" t="s">
        <v>30</v>
      </c>
      <c r="C18">
        <f>C17*1.1</f>
        <v>0.38500000000000001</v>
      </c>
      <c r="D18">
        <v>25</v>
      </c>
      <c r="E18" t="s">
        <v>33</v>
      </c>
    </row>
    <row r="19" spans="2:5" x14ac:dyDescent="0.3">
      <c r="B19" t="s">
        <v>31</v>
      </c>
      <c r="C19">
        <v>6</v>
      </c>
      <c r="D19">
        <f>2*14.4</f>
        <v>28.8</v>
      </c>
      <c r="E19" t="s">
        <v>38</v>
      </c>
    </row>
    <row r="20" spans="2:5" x14ac:dyDescent="0.3">
      <c r="B20" t="s">
        <v>193</v>
      </c>
      <c r="C20">
        <v>0</v>
      </c>
      <c r="D20">
        <v>0</v>
      </c>
      <c r="E20" t="s">
        <v>33</v>
      </c>
    </row>
    <row r="22" spans="2:5" x14ac:dyDescent="0.3">
      <c r="B22" t="s">
        <v>102</v>
      </c>
      <c r="C22" t="s">
        <v>8</v>
      </c>
    </row>
    <row r="23" spans="2:5" x14ac:dyDescent="0.3">
      <c r="B23" s="2" t="s">
        <v>18</v>
      </c>
      <c r="C23" s="3">
        <v>3.1</v>
      </c>
    </row>
    <row r="24" spans="2:5" x14ac:dyDescent="0.3">
      <c r="B24" s="2" t="s">
        <v>19</v>
      </c>
      <c r="C24" s="3">
        <v>3.4</v>
      </c>
    </row>
  </sheetData>
  <mergeCells count="1">
    <mergeCell ref="J2:L2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4C4A-4031-4B7A-B54E-5F499B381D6C}">
  <dimension ref="B3:Q40"/>
  <sheetViews>
    <sheetView workbookViewId="0"/>
  </sheetViews>
  <sheetFormatPr defaultRowHeight="14.4" x14ac:dyDescent="0.3"/>
  <cols>
    <col min="2" max="2" width="25.6640625" bestFit="1" customWidth="1"/>
    <col min="4" max="5" width="13.33203125" bestFit="1" customWidth="1"/>
    <col min="6" max="6" width="15.6640625" bestFit="1" customWidth="1"/>
    <col min="7" max="7" width="16.5546875" bestFit="1" customWidth="1"/>
    <col min="8" max="8" width="18.44140625" bestFit="1" customWidth="1"/>
    <col min="11" max="11" width="17.33203125" bestFit="1" customWidth="1"/>
    <col min="12" max="12" width="9.33203125" bestFit="1" customWidth="1"/>
    <col min="13" max="14" width="13.5546875" bestFit="1" customWidth="1"/>
    <col min="15" max="15" width="16.33203125" bestFit="1" customWidth="1"/>
    <col min="16" max="16" width="17.109375" bestFit="1" customWidth="1"/>
    <col min="17" max="17" width="19" bestFit="1" customWidth="1"/>
  </cols>
  <sheetData>
    <row r="3" spans="2:17" x14ac:dyDescent="0.3">
      <c r="B3" s="1" t="s">
        <v>1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  <c r="K3" s="1" t="s">
        <v>208</v>
      </c>
      <c r="L3" s="1" t="s">
        <v>113</v>
      </c>
      <c r="M3" s="1" t="s">
        <v>114</v>
      </c>
      <c r="N3" s="1" t="s">
        <v>115</v>
      </c>
      <c r="O3" s="1" t="s">
        <v>116</v>
      </c>
      <c r="P3" s="1" t="s">
        <v>117</v>
      </c>
      <c r="Q3" s="1" t="s">
        <v>118</v>
      </c>
    </row>
    <row r="4" spans="2:17" x14ac:dyDescent="0.3">
      <c r="B4" t="s">
        <v>112</v>
      </c>
      <c r="C4">
        <v>184</v>
      </c>
      <c r="D4">
        <v>5460.52</v>
      </c>
      <c r="E4">
        <v>2316.9</v>
      </c>
      <c r="F4" s="15">
        <f>D4/C4</f>
        <v>29.676739130434786</v>
      </c>
      <c r="G4" s="15">
        <f>E4/C4</f>
        <v>12.591847826086957</v>
      </c>
      <c r="H4" s="15">
        <f>SUM(D4:E4)/C4</f>
        <v>42.268586956521737</v>
      </c>
      <c r="K4" t="s">
        <v>209</v>
      </c>
      <c r="L4">
        <v>2119.31</v>
      </c>
      <c r="M4">
        <v>46633.8</v>
      </c>
      <c r="N4">
        <v>17577.3</v>
      </c>
      <c r="O4" s="15">
        <f>M4/L4</f>
        <v>22.004237228154448</v>
      </c>
      <c r="P4" s="15">
        <f>N4/L4</f>
        <v>8.2938786680570562</v>
      </c>
      <c r="Q4" s="15">
        <f>O4+P4</f>
        <v>30.298115896211506</v>
      </c>
    </row>
    <row r="5" spans="2:17" x14ac:dyDescent="0.3">
      <c r="B5" t="s">
        <v>119</v>
      </c>
      <c r="C5">
        <v>2272</v>
      </c>
      <c r="D5">
        <v>51882</v>
      </c>
      <c r="E5">
        <v>9964</v>
      </c>
      <c r="F5" s="15">
        <f t="shared" ref="F5:F11" si="0">D5/C5</f>
        <v>22.83538732394366</v>
      </c>
      <c r="G5" s="15">
        <f t="shared" ref="G5:G11" si="1">E5/C5</f>
        <v>4.38556338028169</v>
      </c>
      <c r="H5" s="15">
        <f t="shared" ref="H5:H11" si="2">SUM(D5:E5)/C5</f>
        <v>27.220950704225352</v>
      </c>
      <c r="K5" t="s">
        <v>210</v>
      </c>
      <c r="L5">
        <v>544</v>
      </c>
      <c r="M5">
        <v>1711</v>
      </c>
      <c r="N5">
        <v>1391</v>
      </c>
      <c r="O5" s="15">
        <f>M5/L5</f>
        <v>3.1452205882352939</v>
      </c>
      <c r="P5" s="15">
        <f>N5/L5</f>
        <v>2.5569852941176472</v>
      </c>
      <c r="Q5" s="15">
        <f>O5+P5</f>
        <v>5.7022058823529411</v>
      </c>
    </row>
    <row r="6" spans="2:17" x14ac:dyDescent="0.3">
      <c r="B6" t="s">
        <v>132</v>
      </c>
      <c r="C6">
        <v>35.299999999999997</v>
      </c>
      <c r="D6">
        <v>261.29000000000002</v>
      </c>
      <c r="E6">
        <v>1171.3599999999999</v>
      </c>
      <c r="F6" s="15">
        <f t="shared" si="0"/>
        <v>7.4019830028328624</v>
      </c>
      <c r="G6" s="15">
        <f t="shared" si="1"/>
        <v>33.183002832861192</v>
      </c>
      <c r="H6" s="15">
        <f t="shared" si="2"/>
        <v>40.584985835694049</v>
      </c>
      <c r="K6" t="s">
        <v>211</v>
      </c>
      <c r="L6">
        <v>2864</v>
      </c>
      <c r="M6">
        <v>23637</v>
      </c>
      <c r="N6">
        <v>11480</v>
      </c>
      <c r="O6" s="15">
        <f t="shared" ref="O6:O12" si="3">M6/L6</f>
        <v>8.2531424581005588</v>
      </c>
      <c r="P6" s="15">
        <f t="shared" ref="P6:P12" si="4">N6/L6</f>
        <v>4.0083798882681565</v>
      </c>
      <c r="Q6" s="15">
        <f t="shared" ref="Q6:Q12" si="5">O6+P6</f>
        <v>12.261522346368714</v>
      </c>
    </row>
    <row r="7" spans="2:17" x14ac:dyDescent="0.3">
      <c r="B7" t="s">
        <v>204</v>
      </c>
      <c r="C7">
        <v>1038</v>
      </c>
      <c r="D7">
        <v>2692</v>
      </c>
      <c r="E7">
        <v>9544</v>
      </c>
      <c r="F7" s="15">
        <f t="shared" si="0"/>
        <v>2.5934489402697496</v>
      </c>
      <c r="G7" s="15">
        <f t="shared" si="1"/>
        <v>9.1946050096339107</v>
      </c>
      <c r="H7" s="15">
        <f t="shared" si="2"/>
        <v>11.788053949903661</v>
      </c>
      <c r="K7" t="s">
        <v>212</v>
      </c>
      <c r="L7">
        <v>753</v>
      </c>
      <c r="M7">
        <v>1635</v>
      </c>
      <c r="N7">
        <v>6879</v>
      </c>
      <c r="O7" s="15">
        <f t="shared" si="3"/>
        <v>2.1713147410358564</v>
      </c>
      <c r="P7" s="15">
        <f t="shared" si="4"/>
        <v>9.1354581673306772</v>
      </c>
      <c r="Q7" s="15">
        <f t="shared" si="5"/>
        <v>11.306772908366533</v>
      </c>
    </row>
    <row r="8" spans="2:17" x14ac:dyDescent="0.3">
      <c r="B8" t="s">
        <v>205</v>
      </c>
      <c r="C8">
        <v>311</v>
      </c>
      <c r="D8">
        <v>2808</v>
      </c>
      <c r="E8">
        <v>855</v>
      </c>
      <c r="F8" s="15">
        <f t="shared" si="0"/>
        <v>9.028938906752412</v>
      </c>
      <c r="G8" s="15">
        <f t="shared" si="1"/>
        <v>2.7491961414790995</v>
      </c>
      <c r="H8" s="15">
        <f t="shared" si="2"/>
        <v>11.778135048231512</v>
      </c>
      <c r="K8" t="s">
        <v>213</v>
      </c>
      <c r="L8">
        <v>1224</v>
      </c>
      <c r="M8">
        <v>4523</v>
      </c>
      <c r="N8">
        <v>9481</v>
      </c>
      <c r="O8" s="15">
        <f t="shared" si="3"/>
        <v>3.6952614379084969</v>
      </c>
      <c r="P8" s="15">
        <f t="shared" si="4"/>
        <v>7.7459150326797381</v>
      </c>
      <c r="Q8" s="15">
        <f t="shared" si="5"/>
        <v>11.441176470588236</v>
      </c>
    </row>
    <row r="9" spans="2:17" x14ac:dyDescent="0.3">
      <c r="B9" t="s">
        <v>206</v>
      </c>
      <c r="C9">
        <v>50</v>
      </c>
      <c r="D9">
        <v>1282</v>
      </c>
      <c r="E9">
        <v>503</v>
      </c>
      <c r="F9" s="15">
        <f t="shared" si="0"/>
        <v>25.64</v>
      </c>
      <c r="G9" s="15">
        <f t="shared" si="1"/>
        <v>10.06</v>
      </c>
      <c r="H9" s="15">
        <f t="shared" si="2"/>
        <v>35.700000000000003</v>
      </c>
      <c r="K9" t="s">
        <v>214</v>
      </c>
      <c r="L9">
        <v>452</v>
      </c>
      <c r="M9">
        <v>2109</v>
      </c>
      <c r="N9">
        <v>1663</v>
      </c>
      <c r="O9" s="15">
        <f t="shared" si="3"/>
        <v>4.6659292035398234</v>
      </c>
      <c r="P9" s="15">
        <f t="shared" si="4"/>
        <v>3.6792035398230087</v>
      </c>
      <c r="Q9" s="15">
        <f t="shared" si="5"/>
        <v>8.3451327433628322</v>
      </c>
    </row>
    <row r="10" spans="2:17" x14ac:dyDescent="0.3">
      <c r="F10" s="15" t="e">
        <f t="shared" si="0"/>
        <v>#DIV/0!</v>
      </c>
      <c r="G10" s="15" t="e">
        <f t="shared" si="1"/>
        <v>#DIV/0!</v>
      </c>
      <c r="H10" s="15" t="e">
        <f t="shared" si="2"/>
        <v>#DIV/0!</v>
      </c>
      <c r="K10" t="s">
        <v>215</v>
      </c>
      <c r="L10">
        <v>878</v>
      </c>
      <c r="M10">
        <v>3288</v>
      </c>
      <c r="N10">
        <v>4284</v>
      </c>
      <c r="O10" s="15">
        <f t="shared" si="3"/>
        <v>3.7448747152619588</v>
      </c>
      <c r="P10" s="15">
        <f t="shared" si="4"/>
        <v>4.879271070615034</v>
      </c>
      <c r="Q10" s="15">
        <f t="shared" si="5"/>
        <v>8.6241457858769923</v>
      </c>
    </row>
    <row r="11" spans="2:17" x14ac:dyDescent="0.3">
      <c r="F11" s="15" t="e">
        <f t="shared" si="0"/>
        <v>#DIV/0!</v>
      </c>
      <c r="G11" s="15" t="e">
        <f t="shared" si="1"/>
        <v>#DIV/0!</v>
      </c>
      <c r="H11" s="15" t="e">
        <f t="shared" si="2"/>
        <v>#DIV/0!</v>
      </c>
      <c r="K11" t="s">
        <v>216</v>
      </c>
      <c r="L11">
        <f>1001+1001+1001+1562+1403</f>
        <v>5968</v>
      </c>
      <c r="M11">
        <f>3921+3932+3985+5406+1836</f>
        <v>19080</v>
      </c>
      <c r="N11">
        <f>3685+3659+3526+5950+882+873</f>
        <v>18575</v>
      </c>
      <c r="O11" s="15">
        <f t="shared" si="3"/>
        <v>3.1970509383378016</v>
      </c>
      <c r="P11" s="15">
        <f t="shared" si="4"/>
        <v>3.1124329758713136</v>
      </c>
      <c r="Q11" s="15">
        <f t="shared" si="5"/>
        <v>6.3094839142091157</v>
      </c>
    </row>
    <row r="12" spans="2:17" x14ac:dyDescent="0.3">
      <c r="G12" t="s">
        <v>218</v>
      </c>
      <c r="H12" s="15">
        <f>AVERAGE(H4:H9)</f>
        <v>28.22345208242939</v>
      </c>
      <c r="K12" t="s">
        <v>217</v>
      </c>
      <c r="L12">
        <f>878+1083+1083+1485+1338</f>
        <v>5867</v>
      </c>
      <c r="M12">
        <f>3283+4159+4176+5549+6437+1439</f>
        <v>25043</v>
      </c>
      <c r="N12">
        <f>4334+6148+5966+5925+6873</f>
        <v>29246</v>
      </c>
      <c r="O12" s="15">
        <f t="shared" si="3"/>
        <v>4.2684506562127149</v>
      </c>
      <c r="P12" s="15">
        <f t="shared" si="4"/>
        <v>4.9848304073632184</v>
      </c>
      <c r="Q12" s="15">
        <f t="shared" si="5"/>
        <v>9.2532810635759333</v>
      </c>
    </row>
    <row r="13" spans="2:17" x14ac:dyDescent="0.3">
      <c r="Q13" s="15"/>
    </row>
    <row r="14" spans="2:17" x14ac:dyDescent="0.3">
      <c r="B14" s="1" t="s">
        <v>2</v>
      </c>
      <c r="C14" s="1" t="s">
        <v>113</v>
      </c>
      <c r="D14" s="1" t="s">
        <v>114</v>
      </c>
      <c r="E14" s="1" t="s">
        <v>115</v>
      </c>
      <c r="F14" s="1" t="s">
        <v>116</v>
      </c>
      <c r="G14" s="1" t="s">
        <v>117</v>
      </c>
      <c r="H14" s="1" t="s">
        <v>118</v>
      </c>
    </row>
    <row r="15" spans="2:17" x14ac:dyDescent="0.3">
      <c r="B15" t="s">
        <v>120</v>
      </c>
      <c r="C15">
        <v>2553</v>
      </c>
      <c r="D15">
        <v>14465</v>
      </c>
      <c r="E15">
        <v>9529</v>
      </c>
      <c r="F15" s="15">
        <f>D15/C15</f>
        <v>5.6658832745789267</v>
      </c>
      <c r="G15" s="15">
        <f>E15/C15</f>
        <v>3.7324716020368194</v>
      </c>
      <c r="H15" s="15">
        <f>SUM(D15:E15)/C15</f>
        <v>9.3983548766157465</v>
      </c>
      <c r="P15" t="s">
        <v>218</v>
      </c>
      <c r="Q15" s="15">
        <f>AVERAGE(Q4:Q12)</f>
        <v>11.504648556768091</v>
      </c>
    </row>
    <row r="16" spans="2:17" x14ac:dyDescent="0.3">
      <c r="B16" t="s">
        <v>121</v>
      </c>
      <c r="C16">
        <v>487</v>
      </c>
      <c r="D16">
        <v>19993</v>
      </c>
      <c r="E16">
        <v>5473</v>
      </c>
      <c r="F16" s="15">
        <f t="shared" ref="F16:F26" si="6">D16/C16</f>
        <v>41.053388090349074</v>
      </c>
      <c r="G16" s="15">
        <f t="shared" ref="G16:G26" si="7">E16/C16</f>
        <v>11.238193018480493</v>
      </c>
      <c r="H16" s="15">
        <f t="shared" ref="H16:H26" si="8">SUM(D16:E16)/C16</f>
        <v>52.291581108829568</v>
      </c>
    </row>
    <row r="17" spans="2:17" x14ac:dyDescent="0.3">
      <c r="B17" t="s">
        <v>122</v>
      </c>
      <c r="C17">
        <v>766.42</v>
      </c>
      <c r="D17">
        <v>15848.1</v>
      </c>
      <c r="E17">
        <v>12766.6</v>
      </c>
      <c r="F17" s="15">
        <f t="shared" si="6"/>
        <v>20.678087732574831</v>
      </c>
      <c r="G17" s="15">
        <f t="shared" si="7"/>
        <v>16.657446308812403</v>
      </c>
      <c r="H17" s="15">
        <f t="shared" si="8"/>
        <v>37.335534041387234</v>
      </c>
      <c r="K17" s="1" t="s">
        <v>219</v>
      </c>
      <c r="L17" s="1" t="s">
        <v>113</v>
      </c>
      <c r="M17" s="1" t="s">
        <v>114</v>
      </c>
      <c r="N17" s="1" t="s">
        <v>115</v>
      </c>
      <c r="O17" s="1" t="s">
        <v>116</v>
      </c>
      <c r="P17" s="1" t="s">
        <v>117</v>
      </c>
      <c r="Q17" s="1" t="s">
        <v>118</v>
      </c>
    </row>
    <row r="18" spans="2:17" x14ac:dyDescent="0.3">
      <c r="B18" t="s">
        <v>123</v>
      </c>
      <c r="C18">
        <v>1950</v>
      </c>
      <c r="D18">
        <v>7359</v>
      </c>
      <c r="E18">
        <v>7757</v>
      </c>
      <c r="F18" s="15">
        <f t="shared" si="6"/>
        <v>3.7738461538461539</v>
      </c>
      <c r="G18" s="15">
        <f t="shared" si="7"/>
        <v>3.9779487179487178</v>
      </c>
      <c r="H18" s="15">
        <f t="shared" si="8"/>
        <v>7.7517948717948721</v>
      </c>
      <c r="K18" t="s">
        <v>220</v>
      </c>
      <c r="L18">
        <v>255</v>
      </c>
      <c r="M18">
        <v>4682</v>
      </c>
      <c r="N18">
        <v>4504</v>
      </c>
      <c r="O18" s="15">
        <f>M18/L18</f>
        <v>18.360784313725489</v>
      </c>
      <c r="P18" s="15">
        <f>N18/L18</f>
        <v>17.662745098039217</v>
      </c>
      <c r="Q18" s="15">
        <f>O18+P18</f>
        <v>36.023529411764706</v>
      </c>
    </row>
    <row r="19" spans="2:17" x14ac:dyDescent="0.3">
      <c r="B19" t="s">
        <v>124</v>
      </c>
      <c r="C19">
        <v>1233</v>
      </c>
      <c r="D19">
        <v>9205</v>
      </c>
      <c r="E19">
        <v>3387</v>
      </c>
      <c r="F19" s="15">
        <f t="shared" si="6"/>
        <v>7.4655312246553125</v>
      </c>
      <c r="G19" s="15">
        <f t="shared" si="7"/>
        <v>2.7469586374695862</v>
      </c>
      <c r="H19" s="15">
        <f t="shared" si="8"/>
        <v>10.212489862124899</v>
      </c>
      <c r="K19" t="s">
        <v>221</v>
      </c>
      <c r="L19">
        <v>24738</v>
      </c>
      <c r="M19">
        <v>583198</v>
      </c>
      <c r="N19">
        <v>212362</v>
      </c>
      <c r="O19" s="15">
        <f>M19/L19</f>
        <v>23.57498585172609</v>
      </c>
      <c r="P19" s="15">
        <f>N19/L19</f>
        <v>8.584444983426307</v>
      </c>
      <c r="Q19" s="15">
        <f>O19+P19</f>
        <v>32.159430835152399</v>
      </c>
    </row>
    <row r="20" spans="2:17" x14ac:dyDescent="0.3">
      <c r="B20" t="s">
        <v>125</v>
      </c>
      <c r="C20">
        <v>2925</v>
      </c>
      <c r="D20">
        <v>23838</v>
      </c>
      <c r="E20">
        <v>26637</v>
      </c>
      <c r="F20" s="15">
        <f t="shared" si="6"/>
        <v>8.1497435897435899</v>
      </c>
      <c r="G20" s="15">
        <f t="shared" si="7"/>
        <v>9.1066666666666674</v>
      </c>
      <c r="H20" s="15">
        <f t="shared" si="8"/>
        <v>17.256410256410255</v>
      </c>
      <c r="K20" t="s">
        <v>222</v>
      </c>
      <c r="L20">
        <v>16636</v>
      </c>
      <c r="M20">
        <v>692119</v>
      </c>
      <c r="N20">
        <v>49460</v>
      </c>
      <c r="O20" s="15">
        <f>M20/L20</f>
        <v>41.603690791055541</v>
      </c>
      <c r="P20" s="15">
        <f>N20/L20</f>
        <v>2.9730704496273144</v>
      </c>
      <c r="Q20" s="15">
        <f>O20+P20</f>
        <v>44.576761240682856</v>
      </c>
    </row>
    <row r="21" spans="2:17" x14ac:dyDescent="0.3">
      <c r="B21" t="s">
        <v>126</v>
      </c>
      <c r="C21">
        <v>1039</v>
      </c>
      <c r="D21">
        <v>4541</v>
      </c>
      <c r="E21">
        <v>3915</v>
      </c>
      <c r="F21" s="15">
        <f t="shared" si="6"/>
        <v>4.3705486044273343</v>
      </c>
      <c r="G21" s="15">
        <f t="shared" si="7"/>
        <v>3.768046198267565</v>
      </c>
      <c r="H21" s="15">
        <f t="shared" si="8"/>
        <v>8.1385948026948984</v>
      </c>
      <c r="K21" t="s">
        <v>223</v>
      </c>
      <c r="L21">
        <v>10863</v>
      </c>
      <c r="M21">
        <v>156227.51999999999</v>
      </c>
      <c r="N21">
        <v>76199.3</v>
      </c>
      <c r="O21" s="15">
        <f>M21/L21</f>
        <v>14.381618337475835</v>
      </c>
      <c r="P21" s="15">
        <f>N21/L21</f>
        <v>7.0145724017306454</v>
      </c>
      <c r="Q21" s="15">
        <f>O21+P21</f>
        <v>21.396190739206482</v>
      </c>
    </row>
    <row r="22" spans="2:17" x14ac:dyDescent="0.3">
      <c r="B22" t="s">
        <v>127</v>
      </c>
      <c r="C22">
        <v>397</v>
      </c>
      <c r="D22">
        <v>2053</v>
      </c>
      <c r="E22">
        <v>1693</v>
      </c>
      <c r="F22" s="15">
        <f t="shared" si="6"/>
        <v>5.1712846347607053</v>
      </c>
      <c r="G22" s="15">
        <f t="shared" si="7"/>
        <v>4.2644836272040303</v>
      </c>
      <c r="H22" s="15">
        <f t="shared" si="8"/>
        <v>9.4357682619647356</v>
      </c>
    </row>
    <row r="23" spans="2:17" x14ac:dyDescent="0.3">
      <c r="B23" t="s">
        <v>128</v>
      </c>
      <c r="C23">
        <v>766.42</v>
      </c>
      <c r="D23">
        <v>2769.3</v>
      </c>
      <c r="E23">
        <v>4953.6000000000004</v>
      </c>
      <c r="F23" s="15">
        <f t="shared" si="6"/>
        <v>3.6132929725215943</v>
      </c>
      <c r="G23" s="15">
        <f t="shared" si="7"/>
        <v>6.4632968868244571</v>
      </c>
      <c r="H23" s="15">
        <f t="shared" si="8"/>
        <v>10.076589859346052</v>
      </c>
      <c r="P23" t="s">
        <v>218</v>
      </c>
      <c r="Q23" s="15">
        <f>AVERAGE(Q18:Q21)</f>
        <v>33.538978056701609</v>
      </c>
    </row>
    <row r="24" spans="2:17" x14ac:dyDescent="0.3">
      <c r="B24" t="s">
        <v>129</v>
      </c>
      <c r="C24">
        <v>449</v>
      </c>
      <c r="D24">
        <v>1854</v>
      </c>
      <c r="E24">
        <v>2041</v>
      </c>
      <c r="F24" s="15">
        <f t="shared" si="6"/>
        <v>4.1291759465478846</v>
      </c>
      <c r="G24" s="15">
        <f t="shared" si="7"/>
        <v>4.5456570155902005</v>
      </c>
      <c r="H24" s="15">
        <f t="shared" si="8"/>
        <v>8.6748329621380851</v>
      </c>
    </row>
    <row r="25" spans="2:17" x14ac:dyDescent="0.3">
      <c r="B25" t="s">
        <v>130</v>
      </c>
      <c r="C25">
        <v>3835.6</v>
      </c>
      <c r="D25">
        <v>27756.3</v>
      </c>
      <c r="E25">
        <v>29468.9</v>
      </c>
      <c r="F25" s="15">
        <f t="shared" si="6"/>
        <v>7.2364949421211806</v>
      </c>
      <c r="G25" s="15">
        <f t="shared" si="7"/>
        <v>7.6829961414120351</v>
      </c>
      <c r="H25" s="15">
        <f t="shared" si="8"/>
        <v>14.919491083533215</v>
      </c>
    </row>
    <row r="26" spans="2:17" x14ac:dyDescent="0.3">
      <c r="B26" t="s">
        <v>131</v>
      </c>
      <c r="C26">
        <v>116</v>
      </c>
      <c r="D26">
        <v>827</v>
      </c>
      <c r="E26">
        <v>913</v>
      </c>
      <c r="F26" s="15">
        <f t="shared" si="6"/>
        <v>7.1293103448275863</v>
      </c>
      <c r="G26" s="15">
        <f t="shared" si="7"/>
        <v>7.8706896551724137</v>
      </c>
      <c r="H26" s="15">
        <f t="shared" si="8"/>
        <v>15</v>
      </c>
    </row>
    <row r="28" spans="2:17" x14ac:dyDescent="0.3">
      <c r="G28" t="s">
        <v>218</v>
      </c>
      <c r="H28" s="15">
        <f>AVERAGE(H15:H26)</f>
        <v>16.707620165569967</v>
      </c>
    </row>
    <row r="31" spans="2:17" x14ac:dyDescent="0.3">
      <c r="B31" s="1" t="s">
        <v>207</v>
      </c>
      <c r="C31" s="1" t="s">
        <v>113</v>
      </c>
      <c r="D31" s="1" t="s">
        <v>114</v>
      </c>
      <c r="E31" s="1" t="s">
        <v>115</v>
      </c>
      <c r="F31" s="1" t="s">
        <v>116</v>
      </c>
      <c r="G31" s="1" t="s">
        <v>117</v>
      </c>
      <c r="H31" s="1" t="s">
        <v>118</v>
      </c>
    </row>
    <row r="32" spans="2:17" x14ac:dyDescent="0.3">
      <c r="B32" t="s">
        <v>224</v>
      </c>
      <c r="C32">
        <v>8233</v>
      </c>
      <c r="D32">
        <v>162744</v>
      </c>
      <c r="E32">
        <v>23443</v>
      </c>
      <c r="F32" s="15">
        <f>D32/C32</f>
        <v>19.767278027450505</v>
      </c>
      <c r="G32" s="15">
        <f>E32/C32</f>
        <v>2.8474432163245473</v>
      </c>
      <c r="H32" s="15">
        <f>F32+G32</f>
        <v>22.614721243775051</v>
      </c>
    </row>
    <row r="33" spans="2:8" x14ac:dyDescent="0.3">
      <c r="B33" t="s">
        <v>225</v>
      </c>
      <c r="C33">
        <v>10179</v>
      </c>
      <c r="D33">
        <v>233638</v>
      </c>
      <c r="E33">
        <v>33225</v>
      </c>
      <c r="F33" s="15">
        <f t="shared" ref="F33:F38" si="9">D33/C33</f>
        <v>22.952942332252675</v>
      </c>
      <c r="G33" s="15">
        <f t="shared" ref="G33:G38" si="10">E33/C33</f>
        <v>3.2640730916592986</v>
      </c>
      <c r="H33" s="15">
        <f t="shared" ref="H33:H38" si="11">F33+G33</f>
        <v>26.217015423911974</v>
      </c>
    </row>
    <row r="34" spans="2:8" x14ac:dyDescent="0.3">
      <c r="B34" t="s">
        <v>226</v>
      </c>
      <c r="C34">
        <v>8798</v>
      </c>
      <c r="D34">
        <v>249184</v>
      </c>
      <c r="E34">
        <v>22862</v>
      </c>
      <c r="F34" s="15">
        <f t="shared" si="9"/>
        <v>28.322800636508298</v>
      </c>
      <c r="G34" s="15">
        <f t="shared" si="10"/>
        <v>2.5985451238917934</v>
      </c>
      <c r="H34" s="15">
        <f t="shared" si="11"/>
        <v>30.92134576040009</v>
      </c>
    </row>
    <row r="35" spans="2:8" x14ac:dyDescent="0.3">
      <c r="B35" t="s">
        <v>227</v>
      </c>
      <c r="C35">
        <v>6340</v>
      </c>
      <c r="D35">
        <v>830914</v>
      </c>
      <c r="E35">
        <v>36729</v>
      </c>
      <c r="F35" s="15">
        <f t="shared" si="9"/>
        <v>131.05899053627761</v>
      </c>
      <c r="G35" s="15">
        <f t="shared" si="10"/>
        <v>5.793217665615142</v>
      </c>
      <c r="H35" s="83">
        <f t="shared" si="11"/>
        <v>136.85220820189275</v>
      </c>
    </row>
    <row r="36" spans="2:8" x14ac:dyDescent="0.3">
      <c r="B36" t="s">
        <v>228</v>
      </c>
      <c r="C36">
        <v>1633</v>
      </c>
      <c r="D36">
        <v>39991</v>
      </c>
      <c r="E36">
        <v>8051</v>
      </c>
      <c r="F36" s="15">
        <f t="shared" si="9"/>
        <v>24.489283527250461</v>
      </c>
      <c r="G36" s="15">
        <f t="shared" si="10"/>
        <v>4.9301898346601352</v>
      </c>
      <c r="H36" s="15">
        <f t="shared" si="11"/>
        <v>29.419473361910597</v>
      </c>
    </row>
    <row r="37" spans="2:8" x14ac:dyDescent="0.3">
      <c r="B37" t="s">
        <v>229</v>
      </c>
      <c r="C37">
        <v>16184</v>
      </c>
      <c r="D37">
        <v>488511</v>
      </c>
      <c r="E37">
        <v>36008</v>
      </c>
      <c r="F37" s="15">
        <f t="shared" si="9"/>
        <v>30.184812160158181</v>
      </c>
      <c r="G37" s="15">
        <f t="shared" si="10"/>
        <v>2.2249134948096887</v>
      </c>
      <c r="H37" s="15">
        <f t="shared" si="11"/>
        <v>32.409725654967872</v>
      </c>
    </row>
    <row r="38" spans="2:8" x14ac:dyDescent="0.3">
      <c r="F38" t="e">
        <f t="shared" si="9"/>
        <v>#DIV/0!</v>
      </c>
      <c r="G38" t="e">
        <f t="shared" si="10"/>
        <v>#DIV/0!</v>
      </c>
      <c r="H38" t="e">
        <f t="shared" si="11"/>
        <v>#DIV/0!</v>
      </c>
    </row>
    <row r="40" spans="2:8" x14ac:dyDescent="0.3">
      <c r="G40" t="s">
        <v>218</v>
      </c>
      <c r="H40" s="15">
        <f>AVERAGE(H32:H34,H36:H37)</f>
        <v>28.316456288993116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Final Report</vt:lpstr>
      <vt:lpstr>Inputs Non-Residential</vt:lpstr>
      <vt:lpstr>Graphs</vt:lpstr>
      <vt:lpstr>Calculations Retail</vt:lpstr>
      <vt:lpstr>Calculations Office</vt:lpstr>
      <vt:lpstr>Calculations Student Accom</vt:lpstr>
      <vt:lpstr>Calculations Educational</vt:lpstr>
      <vt:lpstr>Calculations Aged Care</vt:lpstr>
      <vt:lpstr>Calculations C&amp;S</vt:lpstr>
      <vt:lpstr>Totals Non-Residential</vt:lpstr>
      <vt:lpstr>Drop down</vt:lpstr>
      <vt:lpstr>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Buskermolen</dc:creator>
  <cp:lastModifiedBy>Ines Buskermolen</cp:lastModifiedBy>
  <dcterms:created xsi:type="dcterms:W3CDTF">2025-01-31T18:59:08Z</dcterms:created>
  <dcterms:modified xsi:type="dcterms:W3CDTF">2026-06-22T01:06:49Z</dcterms:modified>
</cp:coreProperties>
</file>